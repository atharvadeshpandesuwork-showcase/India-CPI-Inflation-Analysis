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13_ncr:1_{A2D31795-A827-4CDF-8F93-2D6FFA81F945}" xr6:coauthVersionLast="47" xr6:coauthVersionMax="47" xr10:uidLastSave="{00000000-0000-0000-0000-000000000000}"/>
  <bookViews>
    <workbookView xWindow="-110" yWindow="-110" windowWidth="25820" windowHeight="15500" tabRatio="738" xr2:uid="{AF2B1844-0FBB-4EB0-A72E-D1F2E5BA3060}"/>
  </bookViews>
  <sheets>
    <sheet name="Cleaned Data" sheetId="2" r:id="rId1"/>
    <sheet name="Q1 CPI Basket Contri Analysis" sheetId="7" r:id="rId2"/>
    <sheet name="Q2 Y-O-Y CPI Trend" sheetId="9" r:id="rId3"/>
    <sheet name="Q3 MOM Food Inflation Analysis" sheetId="11" r:id="rId4"/>
    <sheet name="Q4 Rural Covid Impact" sheetId="12" r:id="rId5"/>
    <sheet name="Q4 Urban Covid Impact" sheetId="15" r:id="rId6"/>
    <sheet name="Q4 Rural + Urban Covid Impact" sheetId="14" r:id="rId7"/>
    <sheet name="Crude Oil Data 2021-22" sheetId="16" r:id="rId8"/>
    <sheet name="Crude Oil Data 2022-23" sheetId="17" r:id="rId9"/>
    <sheet name="Rural Sec Raw Data" sheetId="19" r:id="rId10"/>
    <sheet name="Urban Sec Raw Data" sheetId="20" r:id="rId11"/>
    <sheet name="Rural+Urban Raw data" sheetId="21" r:id="rId12"/>
    <sheet name="Q5 Crude Oil Inflation" sheetId="18" r:id="rId13"/>
    <sheet name="Q5 Rural Sector Correlation" sheetId="22" r:id="rId14"/>
    <sheet name="Q5 Urban Sector Correlation" sheetId="23" r:id="rId15"/>
    <sheet name="Q5RuralUrban Sector Correlation" sheetId="24" r:id="rId16"/>
  </sheets>
  <externalReferences>
    <externalReference r:id="rId17"/>
  </externalReferences>
  <definedNames>
    <definedName name="_xlnm._FilterDatabase" localSheetId="0" hidden="1">'Cleaned Data'!$A$1:$AD$374</definedName>
    <definedName name="_xlnm._FilterDatabase" localSheetId="1" hidden="1">'Q1 CPI Basket Contri Analysis'!$A$3:$E$30</definedName>
    <definedName name="_xlnm._FilterDatabase" localSheetId="6" hidden="1">'Q4 Rural + Urban Covid Impact'!$B$5:$T$79</definedName>
    <definedName name="_xlnm._FilterDatabase" localSheetId="4" hidden="1">'Q4 Rural Covid Impact'!$B$5:$T$79</definedName>
    <definedName name="_xlnm._FilterDatabase" localSheetId="5" hidden="1">'Q4 Urban Covid Impact'!$B$5:$T$79</definedName>
    <definedName name="_xlnm._FilterDatabase" localSheetId="15" hidden="1">'Q5RuralUrban Sector Correlation'!$G$4:$H$30</definedName>
    <definedName name="_xlchart.v1.0" hidden="1">'Q3 MOM Food Inflation Analysis'!$B$25:$B$26</definedName>
    <definedName name="_xlchart.v1.1" hidden="1">'Q3 MOM Food Inflation Analysis'!$D$24:$O$24</definedName>
    <definedName name="_xlchart.v1.10" hidden="1">'Q3 MOM Food Inflation Analysis'!$D$76:$O$76</definedName>
    <definedName name="_xlchart.v1.11" hidden="1">'Q3 MOM Food Inflation Analysis'!$D$78:$O$78</definedName>
    <definedName name="_xlchart.v1.12" hidden="1">'Q3 MOM Food Inflation Analysis'!$B$54:$B$55</definedName>
    <definedName name="_xlchart.v1.13" hidden="1">'Q3 MOM Food Inflation Analysis'!$D$76:$O$76</definedName>
    <definedName name="_xlchart.v1.14" hidden="1">'Q3 MOM Food Inflation Analysis'!$D$81:$O$81</definedName>
    <definedName name="_xlchart.v1.15" hidden="1">'Q3 MOM Food Inflation Analysis'!$B$54:$B$55</definedName>
    <definedName name="_xlchart.v1.16" hidden="1">'Q3 MOM Food Inflation Analysis'!$D$50:$O$50</definedName>
    <definedName name="_xlchart.v1.17" hidden="1">'Q3 MOM Food Inflation Analysis'!$D$55:$O$55</definedName>
    <definedName name="_xlchart.v1.2" hidden="1">'Q3 MOM Food Inflation Analysis'!$D$26:$O$26</definedName>
    <definedName name="_xlchart.v1.3" hidden="1">'Q3 MOM Food Inflation Analysis'!$B$28:$B$29</definedName>
    <definedName name="_xlchart.v1.4" hidden="1">'Q3 MOM Food Inflation Analysis'!$D$24:$O$24</definedName>
    <definedName name="_xlchart.v1.5" hidden="1">'Q3 MOM Food Inflation Analysis'!$D$29:$O$29</definedName>
    <definedName name="_xlchart.v1.6" hidden="1">'Q3 MOM Food Inflation Analysis'!$B$51:$B$52</definedName>
    <definedName name="_xlchart.v1.7" hidden="1">'Q3 MOM Food Inflation Analysis'!$D$50:$O$50</definedName>
    <definedName name="_xlchart.v1.8" hidden="1">'Q3 MOM Food Inflation Analysis'!$D$52:$O$52</definedName>
    <definedName name="_xlchart.v1.9" hidden="1">'Q3 MOM Food Inflation Analysis'!$B$77:$B$78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 a="1"/>
  <c r="H30" i="22"/>
  <c r="H29" i="22"/>
  <c r="H28" i="22"/>
  <c r="H27" i="22"/>
  <c r="H26" i="22"/>
  <c r="H25" i="22"/>
  <c r="H24" i="22"/>
  <c r="H23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9" i="24"/>
  <c r="H10" i="24"/>
  <c r="H8" i="24"/>
  <c r="H7" i="24"/>
  <c r="H6" i="24"/>
  <c r="H5" i="24"/>
  <c r="H26" i="18"/>
  <c r="G26" i="18"/>
  <c r="H25" i="18"/>
  <c r="G25" i="18"/>
  <c r="H24" i="18"/>
  <c r="G24" i="18"/>
  <c r="H23" i="18"/>
  <c r="G23" i="18"/>
  <c r="H22" i="18"/>
  <c r="G22" i="18"/>
  <c r="H21" i="18"/>
  <c r="G21" i="18"/>
  <c r="H20" i="18"/>
  <c r="G20" i="18"/>
  <c r="H19" i="18"/>
  <c r="G19" i="18"/>
  <c r="H18" i="18"/>
  <c r="G18" i="18"/>
  <c r="H17" i="18"/>
  <c r="G17" i="18"/>
  <c r="H16" i="18"/>
  <c r="G16" i="18"/>
  <c r="H15" i="18"/>
  <c r="G15" i="18"/>
  <c r="H14" i="18"/>
  <c r="G14" i="18"/>
  <c r="H13" i="18"/>
  <c r="G13" i="18"/>
  <c r="H12" i="18"/>
  <c r="G12" i="18"/>
  <c r="H11" i="18"/>
  <c r="G11" i="18"/>
  <c r="H10" i="18"/>
  <c r="G10" i="18"/>
  <c r="H9" i="18"/>
  <c r="G9" i="18"/>
  <c r="H8" i="18"/>
  <c r="G8" i="18"/>
  <c r="H7" i="18"/>
  <c r="G7" i="18"/>
  <c r="H6" i="18"/>
  <c r="G6" i="18"/>
  <c r="H5" i="18"/>
  <c r="G5" i="18"/>
  <c r="H4" i="18"/>
  <c r="G4" i="18"/>
  <c r="G3" i="18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AD35" i="17"/>
  <c r="O35" i="17"/>
  <c r="AD34" i="17"/>
  <c r="O34" i="17"/>
  <c r="AD33" i="17"/>
  <c r="O33" i="17"/>
  <c r="AD32" i="17"/>
  <c r="O32" i="17"/>
  <c r="AD31" i="17"/>
  <c r="O31" i="17"/>
  <c r="AD30" i="17"/>
  <c r="O30" i="17"/>
  <c r="AD29" i="17"/>
  <c r="O29" i="17"/>
  <c r="AD28" i="17"/>
  <c r="O28" i="17"/>
  <c r="AD27" i="17"/>
  <c r="O27" i="17"/>
  <c r="AD26" i="17"/>
  <c r="O26" i="17"/>
  <c r="AD25" i="17"/>
  <c r="O25" i="17"/>
  <c r="AD24" i="17"/>
  <c r="O24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AD20" i="17"/>
  <c r="O20" i="17"/>
  <c r="AD19" i="17"/>
  <c r="O19" i="17"/>
  <c r="AD18" i="17"/>
  <c r="O18" i="17"/>
  <c r="AD17" i="17"/>
  <c r="O17" i="17"/>
  <c r="AD16" i="17"/>
  <c r="O16" i="17"/>
  <c r="AD15" i="17"/>
  <c r="O15" i="17"/>
  <c r="AD14" i="17"/>
  <c r="O14" i="17"/>
  <c r="AD13" i="17"/>
  <c r="O13" i="17"/>
  <c r="AD12" i="17"/>
  <c r="O12" i="17"/>
  <c r="AD11" i="17"/>
  <c r="O11" i="17"/>
  <c r="AD10" i="17"/>
  <c r="O10" i="17"/>
  <c r="AD8" i="17"/>
  <c r="O8" i="17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AE35" i="16"/>
  <c r="O35" i="16"/>
  <c r="AE34" i="16"/>
  <c r="O34" i="16"/>
  <c r="AE33" i="16"/>
  <c r="O33" i="16"/>
  <c r="AE32" i="16"/>
  <c r="O32" i="16"/>
  <c r="AE31" i="16"/>
  <c r="O31" i="16"/>
  <c r="AE30" i="16"/>
  <c r="O30" i="16"/>
  <c r="AE29" i="16"/>
  <c r="O29" i="16"/>
  <c r="AE28" i="16"/>
  <c r="O28" i="16"/>
  <c r="AE27" i="16"/>
  <c r="O27" i="16"/>
  <c r="AE26" i="16"/>
  <c r="O26" i="16"/>
  <c r="AE25" i="16"/>
  <c r="O25" i="16"/>
  <c r="AE24" i="16"/>
  <c r="O24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AE20" i="16"/>
  <c r="O20" i="16"/>
  <c r="AE19" i="16"/>
  <c r="O19" i="16"/>
  <c r="AE18" i="16"/>
  <c r="O18" i="16"/>
  <c r="AE17" i="16"/>
  <c r="O17" i="16"/>
  <c r="AE16" i="16"/>
  <c r="O16" i="16"/>
  <c r="AE15" i="16"/>
  <c r="O15" i="16"/>
  <c r="AE14" i="16"/>
  <c r="O14" i="16"/>
  <c r="AE13" i="16"/>
  <c r="O13" i="16"/>
  <c r="AE12" i="16"/>
  <c r="O12" i="16"/>
  <c r="AE11" i="16"/>
  <c r="O11" i="16"/>
  <c r="AE10" i="16"/>
  <c r="O10" i="16"/>
  <c r="AE8" i="16"/>
  <c r="O8" i="16"/>
  <c r="AE79" i="14"/>
  <c r="AD79" i="14"/>
  <c r="AC79" i="14"/>
  <c r="AB79" i="14"/>
  <c r="AA79" i="14"/>
  <c r="Z79" i="14"/>
  <c r="Y79" i="14"/>
  <c r="X79" i="14"/>
  <c r="N79" i="14"/>
  <c r="AE78" i="14"/>
  <c r="AD78" i="14"/>
  <c r="AC78" i="14"/>
  <c r="AB78" i="14"/>
  <c r="AA78" i="14"/>
  <c r="Z78" i="14"/>
  <c r="Y78" i="14"/>
  <c r="X78" i="14"/>
  <c r="N78" i="14"/>
  <c r="AE77" i="14"/>
  <c r="AD77" i="14"/>
  <c r="AC77" i="14"/>
  <c r="AB77" i="14"/>
  <c r="AA77" i="14"/>
  <c r="Z77" i="14"/>
  <c r="Y77" i="14"/>
  <c r="X77" i="14"/>
  <c r="N77" i="14"/>
  <c r="AE76" i="14"/>
  <c r="AD76" i="14"/>
  <c r="AC76" i="14"/>
  <c r="AB76" i="14"/>
  <c r="AA76" i="14"/>
  <c r="Z76" i="14"/>
  <c r="Y76" i="14"/>
  <c r="X76" i="14"/>
  <c r="N76" i="14"/>
  <c r="AE75" i="14"/>
  <c r="AD75" i="14"/>
  <c r="AC75" i="14"/>
  <c r="AB75" i="14"/>
  <c r="AA75" i="14"/>
  <c r="Z75" i="14"/>
  <c r="Y75" i="14"/>
  <c r="X75" i="14"/>
  <c r="N75" i="14"/>
  <c r="AE74" i="14"/>
  <c r="AD74" i="14"/>
  <c r="AC74" i="14"/>
  <c r="AB74" i="14"/>
  <c r="AA74" i="14"/>
  <c r="Z74" i="14"/>
  <c r="Y74" i="14"/>
  <c r="X74" i="14"/>
  <c r="N74" i="14"/>
  <c r="AE73" i="14"/>
  <c r="AD73" i="14"/>
  <c r="AC73" i="14"/>
  <c r="AB73" i="14"/>
  <c r="AA73" i="14"/>
  <c r="Z73" i="14"/>
  <c r="Y73" i="14"/>
  <c r="X73" i="14"/>
  <c r="N73" i="14"/>
  <c r="AE72" i="14"/>
  <c r="AD72" i="14"/>
  <c r="AC72" i="14"/>
  <c r="AB72" i="14"/>
  <c r="AA72" i="14"/>
  <c r="Z72" i="14"/>
  <c r="Y72" i="14"/>
  <c r="X72" i="14"/>
  <c r="N72" i="14"/>
  <c r="AE71" i="14"/>
  <c r="AD71" i="14"/>
  <c r="AC71" i="14"/>
  <c r="AB71" i="14"/>
  <c r="AA71" i="14"/>
  <c r="Z71" i="14"/>
  <c r="Y71" i="14"/>
  <c r="X71" i="14"/>
  <c r="N71" i="14"/>
  <c r="AE70" i="14"/>
  <c r="AD70" i="14"/>
  <c r="AC70" i="14"/>
  <c r="AB70" i="14"/>
  <c r="AA70" i="14"/>
  <c r="Z70" i="14"/>
  <c r="Y70" i="14"/>
  <c r="X70" i="14"/>
  <c r="N70" i="14"/>
  <c r="AE69" i="14"/>
  <c r="AD69" i="14"/>
  <c r="AC69" i="14"/>
  <c r="AB69" i="14"/>
  <c r="AA69" i="14"/>
  <c r="Z69" i="14"/>
  <c r="Y69" i="14"/>
  <c r="X69" i="14"/>
  <c r="N69" i="14"/>
  <c r="AE68" i="14"/>
  <c r="AD68" i="14"/>
  <c r="AC68" i="14"/>
  <c r="AB68" i="14"/>
  <c r="AA68" i="14"/>
  <c r="Z68" i="14"/>
  <c r="Y68" i="14"/>
  <c r="X68" i="14"/>
  <c r="N68" i="14"/>
  <c r="AE67" i="14"/>
  <c r="AD67" i="14"/>
  <c r="AC67" i="14"/>
  <c r="AB67" i="14"/>
  <c r="AA67" i="14"/>
  <c r="Z67" i="14"/>
  <c r="Y67" i="14"/>
  <c r="X67" i="14"/>
  <c r="N67" i="14"/>
  <c r="AE66" i="14"/>
  <c r="AD66" i="14"/>
  <c r="AC66" i="14"/>
  <c r="AB66" i="14"/>
  <c r="AA66" i="14"/>
  <c r="Z66" i="14"/>
  <c r="Y66" i="14"/>
  <c r="X66" i="14"/>
  <c r="N66" i="14"/>
  <c r="AE65" i="14"/>
  <c r="AD65" i="14"/>
  <c r="AC65" i="14"/>
  <c r="AB65" i="14"/>
  <c r="AA65" i="14"/>
  <c r="Z65" i="14"/>
  <c r="Y65" i="14"/>
  <c r="X65" i="14"/>
  <c r="N65" i="14"/>
  <c r="AE64" i="14"/>
  <c r="AD64" i="14"/>
  <c r="AC64" i="14"/>
  <c r="AB64" i="14"/>
  <c r="AA64" i="14"/>
  <c r="Z64" i="14"/>
  <c r="Y64" i="14"/>
  <c r="X64" i="14"/>
  <c r="N64" i="14"/>
  <c r="AE63" i="14"/>
  <c r="AD63" i="14"/>
  <c r="AC63" i="14"/>
  <c r="AB63" i="14"/>
  <c r="AA63" i="14"/>
  <c r="Z63" i="14"/>
  <c r="Y63" i="14"/>
  <c r="X63" i="14"/>
  <c r="N63" i="14"/>
  <c r="AE62" i="14"/>
  <c r="AD62" i="14"/>
  <c r="AC62" i="14"/>
  <c r="AB62" i="14"/>
  <c r="AA62" i="14"/>
  <c r="Z62" i="14"/>
  <c r="Y62" i="14"/>
  <c r="X62" i="14"/>
  <c r="N62" i="14"/>
  <c r="AE61" i="14"/>
  <c r="AD61" i="14"/>
  <c r="AC61" i="14"/>
  <c r="AB61" i="14"/>
  <c r="AA61" i="14"/>
  <c r="Z61" i="14"/>
  <c r="Y61" i="14"/>
  <c r="X61" i="14"/>
  <c r="N61" i="14"/>
  <c r="AE60" i="14"/>
  <c r="AD60" i="14"/>
  <c r="AC60" i="14"/>
  <c r="AB60" i="14"/>
  <c r="AA60" i="14"/>
  <c r="Z60" i="14"/>
  <c r="Y60" i="14"/>
  <c r="X60" i="14"/>
  <c r="N60" i="14"/>
  <c r="AE59" i="14"/>
  <c r="AD59" i="14"/>
  <c r="AC59" i="14"/>
  <c r="AB59" i="14"/>
  <c r="AA59" i="14"/>
  <c r="Z59" i="14"/>
  <c r="Y59" i="14"/>
  <c r="X59" i="14"/>
  <c r="N59" i="14"/>
  <c r="AE58" i="14"/>
  <c r="AD58" i="14"/>
  <c r="AC58" i="14"/>
  <c r="AB58" i="14"/>
  <c r="AA58" i="14"/>
  <c r="Z58" i="14"/>
  <c r="Y58" i="14"/>
  <c r="X58" i="14"/>
  <c r="N58" i="14"/>
  <c r="AE57" i="14"/>
  <c r="AD57" i="14"/>
  <c r="AC57" i="14"/>
  <c r="AB57" i="14"/>
  <c r="AA57" i="14"/>
  <c r="Z57" i="14"/>
  <c r="Y57" i="14"/>
  <c r="X57" i="14"/>
  <c r="N57" i="14"/>
  <c r="AE56" i="14"/>
  <c r="AD56" i="14"/>
  <c r="AC56" i="14"/>
  <c r="AB56" i="14"/>
  <c r="AA56" i="14"/>
  <c r="Z56" i="14"/>
  <c r="Y56" i="14"/>
  <c r="X56" i="14"/>
  <c r="N56" i="14"/>
  <c r="AE55" i="14"/>
  <c r="AD55" i="14"/>
  <c r="AC55" i="14"/>
  <c r="AB55" i="14"/>
  <c r="AA55" i="14"/>
  <c r="Z55" i="14"/>
  <c r="Y55" i="14"/>
  <c r="X55" i="14"/>
  <c r="N55" i="14"/>
  <c r="AE54" i="14"/>
  <c r="AD54" i="14"/>
  <c r="AC54" i="14"/>
  <c r="AB54" i="14"/>
  <c r="AA54" i="14"/>
  <c r="Z54" i="14"/>
  <c r="Y54" i="14"/>
  <c r="X54" i="14"/>
  <c r="N54" i="14"/>
  <c r="AE53" i="14"/>
  <c r="AD53" i="14"/>
  <c r="AC53" i="14"/>
  <c r="AB53" i="14"/>
  <c r="AA53" i="14"/>
  <c r="Z53" i="14"/>
  <c r="Y53" i="14"/>
  <c r="X53" i="14"/>
  <c r="N53" i="14"/>
  <c r="AE52" i="14"/>
  <c r="AD52" i="14"/>
  <c r="AC52" i="14"/>
  <c r="AB52" i="14"/>
  <c r="AA52" i="14"/>
  <c r="Z52" i="14"/>
  <c r="Y52" i="14"/>
  <c r="X52" i="14"/>
  <c r="N52" i="14"/>
  <c r="AE51" i="14"/>
  <c r="AD51" i="14"/>
  <c r="AC51" i="14"/>
  <c r="AB51" i="14"/>
  <c r="AA51" i="14"/>
  <c r="Z51" i="14"/>
  <c r="Y51" i="14"/>
  <c r="X51" i="14"/>
  <c r="N51" i="14"/>
  <c r="AE50" i="14"/>
  <c r="AD50" i="14"/>
  <c r="AC50" i="14"/>
  <c r="AB50" i="14"/>
  <c r="AA50" i="14"/>
  <c r="Z50" i="14"/>
  <c r="Y50" i="14"/>
  <c r="X50" i="14"/>
  <c r="N50" i="14"/>
  <c r="AE49" i="14"/>
  <c r="AD49" i="14"/>
  <c r="AC49" i="14"/>
  <c r="AB49" i="14"/>
  <c r="AA49" i="14"/>
  <c r="Z49" i="14"/>
  <c r="Y49" i="14"/>
  <c r="X49" i="14"/>
  <c r="N49" i="14"/>
  <c r="AE48" i="14"/>
  <c r="AD48" i="14"/>
  <c r="AC48" i="14"/>
  <c r="AB48" i="14"/>
  <c r="AA48" i="14"/>
  <c r="Z48" i="14"/>
  <c r="Y48" i="14"/>
  <c r="X48" i="14"/>
  <c r="N48" i="14"/>
  <c r="AE47" i="14"/>
  <c r="AD47" i="14"/>
  <c r="AC47" i="14"/>
  <c r="AB47" i="14"/>
  <c r="AA47" i="14"/>
  <c r="Z47" i="14"/>
  <c r="Y47" i="14"/>
  <c r="X47" i="14"/>
  <c r="N47" i="14"/>
  <c r="AE46" i="14"/>
  <c r="AD46" i="14"/>
  <c r="AC46" i="14"/>
  <c r="AB46" i="14"/>
  <c r="AA46" i="14"/>
  <c r="Z46" i="14"/>
  <c r="Y46" i="14"/>
  <c r="X46" i="14"/>
  <c r="N46" i="14"/>
  <c r="AE45" i="14"/>
  <c r="AD45" i="14"/>
  <c r="AC45" i="14"/>
  <c r="AB45" i="14"/>
  <c r="AA45" i="14"/>
  <c r="Z45" i="14"/>
  <c r="Y45" i="14"/>
  <c r="X45" i="14"/>
  <c r="N45" i="14"/>
  <c r="AE44" i="14"/>
  <c r="AD44" i="14"/>
  <c r="AC44" i="14"/>
  <c r="AB44" i="14"/>
  <c r="AA44" i="14"/>
  <c r="Z44" i="14"/>
  <c r="Y44" i="14"/>
  <c r="X44" i="14"/>
  <c r="N44" i="14"/>
  <c r="AE43" i="14"/>
  <c r="AD43" i="14"/>
  <c r="AC43" i="14"/>
  <c r="AB43" i="14"/>
  <c r="AA43" i="14"/>
  <c r="Z43" i="14"/>
  <c r="Y43" i="14"/>
  <c r="X43" i="14"/>
  <c r="N43" i="14"/>
  <c r="AE42" i="14"/>
  <c r="AD42" i="14"/>
  <c r="AC42" i="14"/>
  <c r="AB42" i="14"/>
  <c r="AA42" i="14"/>
  <c r="Z42" i="14"/>
  <c r="Y42" i="14"/>
  <c r="X42" i="14"/>
  <c r="N42" i="14"/>
  <c r="AE41" i="14"/>
  <c r="AD41" i="14"/>
  <c r="AC41" i="14"/>
  <c r="AB41" i="14"/>
  <c r="AA41" i="14"/>
  <c r="Z41" i="14"/>
  <c r="Y41" i="14"/>
  <c r="X41" i="14"/>
  <c r="N41" i="14"/>
  <c r="AE40" i="14"/>
  <c r="AD40" i="14"/>
  <c r="AC40" i="14"/>
  <c r="AB40" i="14"/>
  <c r="AA40" i="14"/>
  <c r="Z40" i="14"/>
  <c r="Y40" i="14"/>
  <c r="X40" i="14"/>
  <c r="N40" i="14"/>
  <c r="AE39" i="14"/>
  <c r="AD39" i="14"/>
  <c r="AC39" i="14"/>
  <c r="AB39" i="14"/>
  <c r="AA39" i="14"/>
  <c r="Z39" i="14"/>
  <c r="Y39" i="14"/>
  <c r="X39" i="14"/>
  <c r="N39" i="14"/>
  <c r="AE38" i="14"/>
  <c r="AD38" i="14"/>
  <c r="AC38" i="14"/>
  <c r="AB38" i="14"/>
  <c r="AA38" i="14"/>
  <c r="Z38" i="14"/>
  <c r="Y38" i="14"/>
  <c r="X38" i="14"/>
  <c r="N38" i="14"/>
  <c r="AE37" i="14"/>
  <c r="AD37" i="14"/>
  <c r="AC37" i="14"/>
  <c r="AB37" i="14"/>
  <c r="AA37" i="14"/>
  <c r="Z37" i="14"/>
  <c r="Y37" i="14"/>
  <c r="X37" i="14"/>
  <c r="N37" i="14"/>
  <c r="AE36" i="14"/>
  <c r="AD36" i="14"/>
  <c r="AC36" i="14"/>
  <c r="AB36" i="14"/>
  <c r="AA36" i="14"/>
  <c r="Z36" i="14"/>
  <c r="Y36" i="14"/>
  <c r="X36" i="14"/>
  <c r="N36" i="14"/>
  <c r="AE35" i="14"/>
  <c r="AD35" i="14"/>
  <c r="AC35" i="14"/>
  <c r="AB35" i="14"/>
  <c r="AA35" i="14"/>
  <c r="Z35" i="14"/>
  <c r="Y35" i="14"/>
  <c r="X35" i="14"/>
  <c r="N35" i="14"/>
  <c r="AE34" i="14"/>
  <c r="AD34" i="14"/>
  <c r="AC34" i="14"/>
  <c r="AB34" i="14"/>
  <c r="AA34" i="14"/>
  <c r="Z34" i="14"/>
  <c r="Y34" i="14"/>
  <c r="X34" i="14"/>
  <c r="N34" i="14"/>
  <c r="AE33" i="14"/>
  <c r="AD33" i="14"/>
  <c r="AC33" i="14"/>
  <c r="AB33" i="14"/>
  <c r="AA33" i="14"/>
  <c r="Z33" i="14"/>
  <c r="Y33" i="14"/>
  <c r="X33" i="14"/>
  <c r="N33" i="14"/>
  <c r="AE32" i="14"/>
  <c r="AD32" i="14"/>
  <c r="AC32" i="14"/>
  <c r="AB32" i="14"/>
  <c r="AA32" i="14"/>
  <c r="Z32" i="14"/>
  <c r="Y32" i="14"/>
  <c r="X32" i="14"/>
  <c r="N32" i="14"/>
  <c r="AE31" i="14"/>
  <c r="AD31" i="14"/>
  <c r="AC31" i="14"/>
  <c r="AB31" i="14"/>
  <c r="AA31" i="14"/>
  <c r="Z31" i="14"/>
  <c r="Y31" i="14"/>
  <c r="X31" i="14"/>
  <c r="N31" i="14"/>
  <c r="AE30" i="14"/>
  <c r="AD30" i="14"/>
  <c r="AC30" i="14"/>
  <c r="AB30" i="14"/>
  <c r="AA30" i="14"/>
  <c r="Z30" i="14"/>
  <c r="Y30" i="14"/>
  <c r="X30" i="14"/>
  <c r="N30" i="14"/>
  <c r="AE29" i="14"/>
  <c r="AD29" i="14"/>
  <c r="AC29" i="14"/>
  <c r="AB29" i="14"/>
  <c r="AA29" i="14"/>
  <c r="Z29" i="14"/>
  <c r="Y29" i="14"/>
  <c r="X29" i="14"/>
  <c r="N29" i="14"/>
  <c r="AE28" i="14"/>
  <c r="AD28" i="14"/>
  <c r="AC28" i="14"/>
  <c r="AB28" i="14"/>
  <c r="AA28" i="14"/>
  <c r="Z28" i="14"/>
  <c r="Y28" i="14"/>
  <c r="X28" i="14"/>
  <c r="N28" i="14"/>
  <c r="AE27" i="14"/>
  <c r="AD27" i="14"/>
  <c r="AC27" i="14"/>
  <c r="AB27" i="14"/>
  <c r="AA27" i="14"/>
  <c r="Z27" i="14"/>
  <c r="Y27" i="14"/>
  <c r="X27" i="14"/>
  <c r="N27" i="14"/>
  <c r="AE26" i="14"/>
  <c r="AD26" i="14"/>
  <c r="AC26" i="14"/>
  <c r="AB26" i="14"/>
  <c r="AA26" i="14"/>
  <c r="Z26" i="14"/>
  <c r="Y26" i="14"/>
  <c r="X26" i="14"/>
  <c r="N26" i="14"/>
  <c r="AE25" i="14"/>
  <c r="AD25" i="14"/>
  <c r="AC25" i="14"/>
  <c r="AB25" i="14"/>
  <c r="AA25" i="14"/>
  <c r="Z25" i="14"/>
  <c r="Y25" i="14"/>
  <c r="X25" i="14"/>
  <c r="N25" i="14"/>
  <c r="AE24" i="14"/>
  <c r="AD24" i="14"/>
  <c r="AC24" i="14"/>
  <c r="AB24" i="14"/>
  <c r="AA24" i="14"/>
  <c r="Z24" i="14"/>
  <c r="Y24" i="14"/>
  <c r="X24" i="14"/>
  <c r="N24" i="14"/>
  <c r="AE23" i="14"/>
  <c r="AD23" i="14"/>
  <c r="AC23" i="14"/>
  <c r="AB23" i="14"/>
  <c r="AA23" i="14"/>
  <c r="Z23" i="14"/>
  <c r="Y23" i="14"/>
  <c r="X23" i="14"/>
  <c r="N23" i="14"/>
  <c r="AE22" i="14"/>
  <c r="AD22" i="14"/>
  <c r="AC22" i="14"/>
  <c r="AB22" i="14"/>
  <c r="AA22" i="14"/>
  <c r="Z22" i="14"/>
  <c r="Y22" i="14"/>
  <c r="X22" i="14"/>
  <c r="N22" i="14"/>
  <c r="AE21" i="14"/>
  <c r="AD21" i="14"/>
  <c r="AC21" i="14"/>
  <c r="AB21" i="14"/>
  <c r="AA21" i="14"/>
  <c r="Z21" i="14"/>
  <c r="Y21" i="14"/>
  <c r="X21" i="14"/>
  <c r="N21" i="14"/>
  <c r="AE20" i="14"/>
  <c r="AD20" i="14"/>
  <c r="AC20" i="14"/>
  <c r="AB20" i="14"/>
  <c r="AA20" i="14"/>
  <c r="Z20" i="14"/>
  <c r="Y20" i="14"/>
  <c r="X20" i="14"/>
  <c r="N20" i="14"/>
  <c r="AE19" i="14"/>
  <c r="AD19" i="14"/>
  <c r="AC19" i="14"/>
  <c r="AB19" i="14"/>
  <c r="AA19" i="14"/>
  <c r="Z19" i="14"/>
  <c r="Y19" i="14"/>
  <c r="X19" i="14"/>
  <c r="N19" i="14"/>
  <c r="AE18" i="14"/>
  <c r="AD18" i="14"/>
  <c r="AC18" i="14"/>
  <c r="AB18" i="14"/>
  <c r="AA18" i="14"/>
  <c r="Z18" i="14"/>
  <c r="Y18" i="14"/>
  <c r="X18" i="14"/>
  <c r="N18" i="14"/>
  <c r="AE17" i="14"/>
  <c r="AD17" i="14"/>
  <c r="AC17" i="14"/>
  <c r="AB17" i="14"/>
  <c r="AA17" i="14"/>
  <c r="Z17" i="14"/>
  <c r="Y17" i="14"/>
  <c r="X17" i="14"/>
  <c r="N17" i="14"/>
  <c r="AE16" i="14"/>
  <c r="AD16" i="14"/>
  <c r="AC16" i="14"/>
  <c r="AB16" i="14"/>
  <c r="AA16" i="14"/>
  <c r="Z16" i="14"/>
  <c r="Y16" i="14"/>
  <c r="X16" i="14"/>
  <c r="N16" i="14"/>
  <c r="AE15" i="14"/>
  <c r="AD15" i="14"/>
  <c r="AC15" i="14"/>
  <c r="AB15" i="14"/>
  <c r="AA15" i="14"/>
  <c r="Z15" i="14"/>
  <c r="Y15" i="14"/>
  <c r="X15" i="14"/>
  <c r="N15" i="14"/>
  <c r="AE14" i="14"/>
  <c r="AD14" i="14"/>
  <c r="AC14" i="14"/>
  <c r="AB14" i="14"/>
  <c r="AA14" i="14"/>
  <c r="Z14" i="14"/>
  <c r="Y14" i="14"/>
  <c r="X14" i="14"/>
  <c r="N14" i="14"/>
  <c r="AE13" i="14"/>
  <c r="AD13" i="14"/>
  <c r="AC13" i="14"/>
  <c r="AB13" i="14"/>
  <c r="AA13" i="14"/>
  <c r="Z13" i="14"/>
  <c r="Y13" i="14"/>
  <c r="X13" i="14"/>
  <c r="N13" i="14"/>
  <c r="AN12" i="14"/>
  <c r="AM12" i="14"/>
  <c r="AL12" i="14"/>
  <c r="AK12" i="14"/>
  <c r="AJ12" i="14"/>
  <c r="AI12" i="14"/>
  <c r="AH12" i="14"/>
  <c r="AE12" i="14"/>
  <c r="AD12" i="14"/>
  <c r="AC12" i="14"/>
  <c r="AB12" i="14"/>
  <c r="AA12" i="14"/>
  <c r="Z12" i="14"/>
  <c r="Y12" i="14"/>
  <c r="X12" i="14"/>
  <c r="N12" i="14"/>
  <c r="AN11" i="14"/>
  <c r="AM11" i="14"/>
  <c r="AL11" i="14"/>
  <c r="AK11" i="14"/>
  <c r="AJ11" i="14"/>
  <c r="AI11" i="14"/>
  <c r="AH11" i="14"/>
  <c r="AE11" i="14"/>
  <c r="AD11" i="14"/>
  <c r="AC11" i="14"/>
  <c r="AB11" i="14"/>
  <c r="AA11" i="14"/>
  <c r="Z11" i="14"/>
  <c r="Y11" i="14"/>
  <c r="X11" i="14"/>
  <c r="N11" i="14"/>
  <c r="AN10" i="14"/>
  <c r="AM10" i="14"/>
  <c r="AL10" i="14"/>
  <c r="AK10" i="14"/>
  <c r="AJ10" i="14"/>
  <c r="AI10" i="14"/>
  <c r="AH10" i="14"/>
  <c r="AE10" i="14"/>
  <c r="AD10" i="14"/>
  <c r="AC10" i="14"/>
  <c r="AB10" i="14"/>
  <c r="AA10" i="14"/>
  <c r="Z10" i="14"/>
  <c r="Y10" i="14"/>
  <c r="X10" i="14"/>
  <c r="N10" i="14"/>
  <c r="AE9" i="14"/>
  <c r="AD9" i="14"/>
  <c r="AC9" i="14"/>
  <c r="AB9" i="14"/>
  <c r="AA9" i="14"/>
  <c r="Z9" i="14"/>
  <c r="Y9" i="14"/>
  <c r="X9" i="14"/>
  <c r="N9" i="14"/>
  <c r="AN8" i="14"/>
  <c r="AM8" i="14"/>
  <c r="AL8" i="14"/>
  <c r="AK8" i="14"/>
  <c r="AJ8" i="14"/>
  <c r="AI8" i="14"/>
  <c r="AH8" i="14"/>
  <c r="AE8" i="14"/>
  <c r="AD8" i="14"/>
  <c r="AC8" i="14"/>
  <c r="AB8" i="14"/>
  <c r="AA8" i="14"/>
  <c r="Z8" i="14"/>
  <c r="Y8" i="14"/>
  <c r="X8" i="14"/>
  <c r="N8" i="14"/>
  <c r="AN7" i="14"/>
  <c r="AM7" i="14"/>
  <c r="AL7" i="14"/>
  <c r="AK7" i="14"/>
  <c r="AJ7" i="14"/>
  <c r="AI7" i="14"/>
  <c r="AH7" i="14"/>
  <c r="AE7" i="14"/>
  <c r="AD7" i="14"/>
  <c r="AC7" i="14"/>
  <c r="AB7" i="14"/>
  <c r="AA7" i="14"/>
  <c r="Z7" i="14"/>
  <c r="Y7" i="14"/>
  <c r="X7" i="14"/>
  <c r="N7" i="14"/>
  <c r="AN6" i="14"/>
  <c r="AM6" i="14"/>
  <c r="AL6" i="14"/>
  <c r="AK6" i="14"/>
  <c r="AJ6" i="14"/>
  <c r="AI6" i="14"/>
  <c r="AH6" i="14"/>
  <c r="X6" i="14"/>
  <c r="N6" i="14"/>
  <c r="AE79" i="15"/>
  <c r="AD79" i="15"/>
  <c r="AC79" i="15"/>
  <c r="AB79" i="15"/>
  <c r="AA79" i="15"/>
  <c r="Z79" i="15"/>
  <c r="Y79" i="15"/>
  <c r="X79" i="15"/>
  <c r="N79" i="15"/>
  <c r="AE78" i="15"/>
  <c r="AD78" i="15"/>
  <c r="AC78" i="15"/>
  <c r="AB78" i="15"/>
  <c r="AA78" i="15"/>
  <c r="Z78" i="15"/>
  <c r="Y78" i="15"/>
  <c r="X78" i="15"/>
  <c r="N78" i="15"/>
  <c r="AE77" i="15"/>
  <c r="AD77" i="15"/>
  <c r="AC77" i="15"/>
  <c r="AB77" i="15"/>
  <c r="AA77" i="15"/>
  <c r="Z77" i="15"/>
  <c r="Y77" i="15"/>
  <c r="X77" i="15"/>
  <c r="N77" i="15"/>
  <c r="AE76" i="15"/>
  <c r="AD76" i="15"/>
  <c r="AC76" i="15"/>
  <c r="AB76" i="15"/>
  <c r="AA76" i="15"/>
  <c r="Z76" i="15"/>
  <c r="Y76" i="15"/>
  <c r="X76" i="15"/>
  <c r="N76" i="15"/>
  <c r="AE75" i="15"/>
  <c r="AD75" i="15"/>
  <c r="AC75" i="15"/>
  <c r="AB75" i="15"/>
  <c r="AA75" i="15"/>
  <c r="Z75" i="15"/>
  <c r="Y75" i="15"/>
  <c r="X75" i="15"/>
  <c r="N75" i="15"/>
  <c r="AE74" i="15"/>
  <c r="AD74" i="15"/>
  <c r="AC74" i="15"/>
  <c r="AB74" i="15"/>
  <c r="AA74" i="15"/>
  <c r="Z74" i="15"/>
  <c r="Y74" i="15"/>
  <c r="X74" i="15"/>
  <c r="N74" i="15"/>
  <c r="AE73" i="15"/>
  <c r="AD73" i="15"/>
  <c r="AC73" i="15"/>
  <c r="AB73" i="15"/>
  <c r="AA73" i="15"/>
  <c r="Z73" i="15"/>
  <c r="Y73" i="15"/>
  <c r="X73" i="15"/>
  <c r="N73" i="15"/>
  <c r="AE72" i="15"/>
  <c r="AD72" i="15"/>
  <c r="AC72" i="15"/>
  <c r="AB72" i="15"/>
  <c r="AA72" i="15"/>
  <c r="Z72" i="15"/>
  <c r="Y72" i="15"/>
  <c r="X72" i="15"/>
  <c r="N72" i="15"/>
  <c r="AE71" i="15"/>
  <c r="AD71" i="15"/>
  <c r="AC71" i="15"/>
  <c r="AB71" i="15"/>
  <c r="AA71" i="15"/>
  <c r="Z71" i="15"/>
  <c r="Y71" i="15"/>
  <c r="X71" i="15"/>
  <c r="N71" i="15"/>
  <c r="AE70" i="15"/>
  <c r="AD70" i="15"/>
  <c r="AC70" i="15"/>
  <c r="AB70" i="15"/>
  <c r="AA70" i="15"/>
  <c r="Z70" i="15"/>
  <c r="Y70" i="15"/>
  <c r="X70" i="15"/>
  <c r="N70" i="15"/>
  <c r="AE69" i="15"/>
  <c r="AD69" i="15"/>
  <c r="AC69" i="15"/>
  <c r="AB69" i="15"/>
  <c r="AA69" i="15"/>
  <c r="Z69" i="15"/>
  <c r="Y69" i="15"/>
  <c r="X69" i="15"/>
  <c r="N69" i="15"/>
  <c r="AE68" i="15"/>
  <c r="AD68" i="15"/>
  <c r="AC68" i="15"/>
  <c r="AB68" i="15"/>
  <c r="AA68" i="15"/>
  <c r="Z68" i="15"/>
  <c r="Y68" i="15"/>
  <c r="X68" i="15"/>
  <c r="N68" i="15"/>
  <c r="AE67" i="15"/>
  <c r="AD67" i="15"/>
  <c r="AC67" i="15"/>
  <c r="AB67" i="15"/>
  <c r="AA67" i="15"/>
  <c r="Z67" i="15"/>
  <c r="Y67" i="15"/>
  <c r="X67" i="15"/>
  <c r="N67" i="15"/>
  <c r="AE66" i="15"/>
  <c r="AD66" i="15"/>
  <c r="AC66" i="15"/>
  <c r="AB66" i="15"/>
  <c r="AA66" i="15"/>
  <c r="Z66" i="15"/>
  <c r="Y66" i="15"/>
  <c r="X66" i="15"/>
  <c r="N66" i="15"/>
  <c r="AE65" i="15"/>
  <c r="AD65" i="15"/>
  <c r="AC65" i="15"/>
  <c r="AB65" i="15"/>
  <c r="AA65" i="15"/>
  <c r="Z65" i="15"/>
  <c r="Y65" i="15"/>
  <c r="X65" i="15"/>
  <c r="N65" i="15"/>
  <c r="AE64" i="15"/>
  <c r="AD64" i="15"/>
  <c r="AC64" i="15"/>
  <c r="AB64" i="15"/>
  <c r="AA64" i="15"/>
  <c r="Z64" i="15"/>
  <c r="Y64" i="15"/>
  <c r="X64" i="15"/>
  <c r="N64" i="15"/>
  <c r="AE63" i="15"/>
  <c r="AD63" i="15"/>
  <c r="AC63" i="15"/>
  <c r="AB63" i="15"/>
  <c r="AA63" i="15"/>
  <c r="Z63" i="15"/>
  <c r="Y63" i="15"/>
  <c r="X63" i="15"/>
  <c r="N63" i="15"/>
  <c r="AE62" i="15"/>
  <c r="AD62" i="15"/>
  <c r="AC62" i="15"/>
  <c r="AB62" i="15"/>
  <c r="AA62" i="15"/>
  <c r="Z62" i="15"/>
  <c r="Y62" i="15"/>
  <c r="X62" i="15"/>
  <c r="N62" i="15"/>
  <c r="AE61" i="15"/>
  <c r="AD61" i="15"/>
  <c r="AC61" i="15"/>
  <c r="AB61" i="15"/>
  <c r="AA61" i="15"/>
  <c r="Z61" i="15"/>
  <c r="Y61" i="15"/>
  <c r="X61" i="15"/>
  <c r="N61" i="15"/>
  <c r="AE60" i="15"/>
  <c r="AD60" i="15"/>
  <c r="AC60" i="15"/>
  <c r="AB60" i="15"/>
  <c r="AA60" i="15"/>
  <c r="Z60" i="15"/>
  <c r="Y60" i="15"/>
  <c r="X60" i="15"/>
  <c r="N60" i="15"/>
  <c r="AE59" i="15"/>
  <c r="AD59" i="15"/>
  <c r="AC59" i="15"/>
  <c r="AB59" i="15"/>
  <c r="AA59" i="15"/>
  <c r="Z59" i="15"/>
  <c r="Y59" i="15"/>
  <c r="X59" i="15"/>
  <c r="N59" i="15"/>
  <c r="AE58" i="15"/>
  <c r="AD58" i="15"/>
  <c r="AC58" i="15"/>
  <c r="AB58" i="15"/>
  <c r="AA58" i="15"/>
  <c r="Z58" i="15"/>
  <c r="Y58" i="15"/>
  <c r="X58" i="15"/>
  <c r="N58" i="15"/>
  <c r="AE57" i="15"/>
  <c r="AD57" i="15"/>
  <c r="AC57" i="15"/>
  <c r="AB57" i="15"/>
  <c r="AA57" i="15"/>
  <c r="Z57" i="15"/>
  <c r="Y57" i="15"/>
  <c r="X57" i="15"/>
  <c r="N57" i="15"/>
  <c r="AE56" i="15"/>
  <c r="AD56" i="15"/>
  <c r="AC56" i="15"/>
  <c r="AB56" i="15"/>
  <c r="AA56" i="15"/>
  <c r="Z56" i="15"/>
  <c r="Y56" i="15"/>
  <c r="X56" i="15"/>
  <c r="N56" i="15"/>
  <c r="AE55" i="15"/>
  <c r="AD55" i="15"/>
  <c r="AC55" i="15"/>
  <c r="AB55" i="15"/>
  <c r="AA55" i="15"/>
  <c r="Z55" i="15"/>
  <c r="Y55" i="15"/>
  <c r="X55" i="15"/>
  <c r="N55" i="15"/>
  <c r="AE54" i="15"/>
  <c r="AD54" i="15"/>
  <c r="AC54" i="15"/>
  <c r="AB54" i="15"/>
  <c r="AA54" i="15"/>
  <c r="Z54" i="15"/>
  <c r="Y54" i="15"/>
  <c r="X54" i="15"/>
  <c r="N54" i="15"/>
  <c r="AE53" i="15"/>
  <c r="AD53" i="15"/>
  <c r="AC53" i="15"/>
  <c r="AB53" i="15"/>
  <c r="AA53" i="15"/>
  <c r="Z53" i="15"/>
  <c r="Y53" i="15"/>
  <c r="X53" i="15"/>
  <c r="N53" i="15"/>
  <c r="AE52" i="15"/>
  <c r="AD52" i="15"/>
  <c r="AC52" i="15"/>
  <c r="AB52" i="15"/>
  <c r="AA52" i="15"/>
  <c r="Z52" i="15"/>
  <c r="Y52" i="15"/>
  <c r="X52" i="15"/>
  <c r="N52" i="15"/>
  <c r="AE51" i="15"/>
  <c r="AD51" i="15"/>
  <c r="AC51" i="15"/>
  <c r="AB51" i="15"/>
  <c r="AA51" i="15"/>
  <c r="Z51" i="15"/>
  <c r="Y51" i="15"/>
  <c r="X51" i="15"/>
  <c r="N51" i="15"/>
  <c r="AE50" i="15"/>
  <c r="AD50" i="15"/>
  <c r="AC50" i="15"/>
  <c r="AB50" i="15"/>
  <c r="AA50" i="15"/>
  <c r="Z50" i="15"/>
  <c r="Y50" i="15"/>
  <c r="X50" i="15"/>
  <c r="N50" i="15"/>
  <c r="AE49" i="15"/>
  <c r="AD49" i="15"/>
  <c r="AC49" i="15"/>
  <c r="AB49" i="15"/>
  <c r="AA49" i="15"/>
  <c r="Z49" i="15"/>
  <c r="Y49" i="15"/>
  <c r="X49" i="15"/>
  <c r="N49" i="15"/>
  <c r="AE48" i="15"/>
  <c r="AD48" i="15"/>
  <c r="AC48" i="15"/>
  <c r="AB48" i="15"/>
  <c r="AA48" i="15"/>
  <c r="Z48" i="15"/>
  <c r="Y48" i="15"/>
  <c r="X48" i="15"/>
  <c r="N48" i="15"/>
  <c r="AE47" i="15"/>
  <c r="AD47" i="15"/>
  <c r="AC47" i="15"/>
  <c r="AB47" i="15"/>
  <c r="AA47" i="15"/>
  <c r="Z47" i="15"/>
  <c r="Y47" i="15"/>
  <c r="X47" i="15"/>
  <c r="N47" i="15"/>
  <c r="AE46" i="15"/>
  <c r="AD46" i="15"/>
  <c r="AC46" i="15"/>
  <c r="AB46" i="15"/>
  <c r="AA46" i="15"/>
  <c r="Z46" i="15"/>
  <c r="Y46" i="15"/>
  <c r="X46" i="15"/>
  <c r="N46" i="15"/>
  <c r="AE45" i="15"/>
  <c r="AD45" i="15"/>
  <c r="AC45" i="15"/>
  <c r="AB45" i="15"/>
  <c r="AA45" i="15"/>
  <c r="Z45" i="15"/>
  <c r="Y45" i="15"/>
  <c r="X45" i="15"/>
  <c r="N45" i="15"/>
  <c r="AE44" i="15"/>
  <c r="AD44" i="15"/>
  <c r="AC44" i="15"/>
  <c r="AB44" i="15"/>
  <c r="AA44" i="15"/>
  <c r="Z44" i="15"/>
  <c r="Y44" i="15"/>
  <c r="X44" i="15"/>
  <c r="N44" i="15"/>
  <c r="AE43" i="15"/>
  <c r="AD43" i="15"/>
  <c r="AC43" i="15"/>
  <c r="AB43" i="15"/>
  <c r="AA43" i="15"/>
  <c r="Z43" i="15"/>
  <c r="Y43" i="15"/>
  <c r="X43" i="15"/>
  <c r="N43" i="15"/>
  <c r="AE42" i="15"/>
  <c r="AD42" i="15"/>
  <c r="AC42" i="15"/>
  <c r="AB42" i="15"/>
  <c r="AA42" i="15"/>
  <c r="Z42" i="15"/>
  <c r="Y42" i="15"/>
  <c r="X42" i="15"/>
  <c r="N42" i="15"/>
  <c r="AE41" i="15"/>
  <c r="AD41" i="15"/>
  <c r="AC41" i="15"/>
  <c r="AB41" i="15"/>
  <c r="AA41" i="15"/>
  <c r="Z41" i="15"/>
  <c r="Y41" i="15"/>
  <c r="X41" i="15"/>
  <c r="N41" i="15"/>
  <c r="AE40" i="15"/>
  <c r="AD40" i="15"/>
  <c r="AC40" i="15"/>
  <c r="AB40" i="15"/>
  <c r="AA40" i="15"/>
  <c r="Z40" i="15"/>
  <c r="Y40" i="15"/>
  <c r="X40" i="15"/>
  <c r="N40" i="15"/>
  <c r="AE39" i="15"/>
  <c r="AD39" i="15"/>
  <c r="AC39" i="15"/>
  <c r="AB39" i="15"/>
  <c r="AA39" i="15"/>
  <c r="Z39" i="15"/>
  <c r="Y39" i="15"/>
  <c r="X39" i="15"/>
  <c r="N39" i="15"/>
  <c r="AE38" i="15"/>
  <c r="AD38" i="15"/>
  <c r="AC38" i="15"/>
  <c r="AB38" i="15"/>
  <c r="AA38" i="15"/>
  <c r="Z38" i="15"/>
  <c r="Y38" i="15"/>
  <c r="X38" i="15"/>
  <c r="N38" i="15"/>
  <c r="AE37" i="15"/>
  <c r="AD37" i="15"/>
  <c r="AC37" i="15"/>
  <c r="AB37" i="15"/>
  <c r="AA37" i="15"/>
  <c r="Z37" i="15"/>
  <c r="Y37" i="15"/>
  <c r="X37" i="15"/>
  <c r="N37" i="15"/>
  <c r="AE36" i="15"/>
  <c r="AD36" i="15"/>
  <c r="AC36" i="15"/>
  <c r="AB36" i="15"/>
  <c r="AA36" i="15"/>
  <c r="Z36" i="15"/>
  <c r="Y36" i="15"/>
  <c r="X36" i="15"/>
  <c r="N36" i="15"/>
  <c r="AE35" i="15"/>
  <c r="AD35" i="15"/>
  <c r="AC35" i="15"/>
  <c r="AB35" i="15"/>
  <c r="AA35" i="15"/>
  <c r="Z35" i="15"/>
  <c r="Y35" i="15"/>
  <c r="X35" i="15"/>
  <c r="N35" i="15"/>
  <c r="AE34" i="15"/>
  <c r="AD34" i="15"/>
  <c r="AC34" i="15"/>
  <c r="AB34" i="15"/>
  <c r="AA34" i="15"/>
  <c r="Z34" i="15"/>
  <c r="Y34" i="15"/>
  <c r="X34" i="15"/>
  <c r="N34" i="15"/>
  <c r="AE33" i="15"/>
  <c r="AD33" i="15"/>
  <c r="AC33" i="15"/>
  <c r="AB33" i="15"/>
  <c r="AA33" i="15"/>
  <c r="Z33" i="15"/>
  <c r="Y33" i="15"/>
  <c r="X33" i="15"/>
  <c r="N33" i="15"/>
  <c r="AE32" i="15"/>
  <c r="AD32" i="15"/>
  <c r="AC32" i="15"/>
  <c r="AB32" i="15"/>
  <c r="AA32" i="15"/>
  <c r="Z32" i="15"/>
  <c r="Y32" i="15"/>
  <c r="X32" i="15"/>
  <c r="N32" i="15"/>
  <c r="AE31" i="15"/>
  <c r="AD31" i="15"/>
  <c r="AC31" i="15"/>
  <c r="AB31" i="15"/>
  <c r="AA31" i="15"/>
  <c r="Z31" i="15"/>
  <c r="Y31" i="15"/>
  <c r="X31" i="15"/>
  <c r="N31" i="15"/>
  <c r="AE30" i="15"/>
  <c r="AD30" i="15"/>
  <c r="AC30" i="15"/>
  <c r="AB30" i="15"/>
  <c r="AA30" i="15"/>
  <c r="Z30" i="15"/>
  <c r="Y30" i="15"/>
  <c r="X30" i="15"/>
  <c r="N30" i="15"/>
  <c r="AE29" i="15"/>
  <c r="AD29" i="15"/>
  <c r="AC29" i="15"/>
  <c r="AB29" i="15"/>
  <c r="AA29" i="15"/>
  <c r="Z29" i="15"/>
  <c r="Y29" i="15"/>
  <c r="X29" i="15"/>
  <c r="N29" i="15"/>
  <c r="AE28" i="15"/>
  <c r="AD28" i="15"/>
  <c r="AC28" i="15"/>
  <c r="AB28" i="15"/>
  <c r="AA28" i="15"/>
  <c r="Z28" i="15"/>
  <c r="Y28" i="15"/>
  <c r="X28" i="15"/>
  <c r="N28" i="15"/>
  <c r="AE27" i="15"/>
  <c r="AD27" i="15"/>
  <c r="AC27" i="15"/>
  <c r="AB27" i="15"/>
  <c r="AA27" i="15"/>
  <c r="Z27" i="15"/>
  <c r="Y27" i="15"/>
  <c r="X27" i="15"/>
  <c r="N27" i="15"/>
  <c r="AE26" i="15"/>
  <c r="AD26" i="15"/>
  <c r="AC26" i="15"/>
  <c r="AB26" i="15"/>
  <c r="AA26" i="15"/>
  <c r="Z26" i="15"/>
  <c r="Y26" i="15"/>
  <c r="X26" i="15"/>
  <c r="N26" i="15"/>
  <c r="AE25" i="15"/>
  <c r="AD25" i="15"/>
  <c r="AC25" i="15"/>
  <c r="AB25" i="15"/>
  <c r="AA25" i="15"/>
  <c r="Z25" i="15"/>
  <c r="Y25" i="15"/>
  <c r="X25" i="15"/>
  <c r="N25" i="15"/>
  <c r="AE24" i="15"/>
  <c r="AD24" i="15"/>
  <c r="AC24" i="15"/>
  <c r="AB24" i="15"/>
  <c r="AA24" i="15"/>
  <c r="Z24" i="15"/>
  <c r="Y24" i="15"/>
  <c r="X24" i="15"/>
  <c r="N24" i="15"/>
  <c r="AE23" i="15"/>
  <c r="AD23" i="15"/>
  <c r="AC23" i="15"/>
  <c r="AB23" i="15"/>
  <c r="AA23" i="15"/>
  <c r="Z23" i="15"/>
  <c r="Y23" i="15"/>
  <c r="X23" i="15"/>
  <c r="N23" i="15"/>
  <c r="AE22" i="15"/>
  <c r="AD22" i="15"/>
  <c r="AC22" i="15"/>
  <c r="AB22" i="15"/>
  <c r="AA22" i="15"/>
  <c r="Z22" i="15"/>
  <c r="Y22" i="15"/>
  <c r="X22" i="15"/>
  <c r="N22" i="15"/>
  <c r="AE21" i="15"/>
  <c r="AD21" i="15"/>
  <c r="AC21" i="15"/>
  <c r="AB21" i="15"/>
  <c r="AA21" i="15"/>
  <c r="Z21" i="15"/>
  <c r="Y21" i="15"/>
  <c r="X21" i="15"/>
  <c r="N21" i="15"/>
  <c r="AE20" i="15"/>
  <c r="AD20" i="15"/>
  <c r="AC20" i="15"/>
  <c r="AB20" i="15"/>
  <c r="AA20" i="15"/>
  <c r="Z20" i="15"/>
  <c r="Y20" i="15"/>
  <c r="X20" i="15"/>
  <c r="N20" i="15"/>
  <c r="AE19" i="15"/>
  <c r="AD19" i="15"/>
  <c r="AC19" i="15"/>
  <c r="AB19" i="15"/>
  <c r="AA19" i="15"/>
  <c r="Z19" i="15"/>
  <c r="Y19" i="15"/>
  <c r="X19" i="15"/>
  <c r="N19" i="15"/>
  <c r="AE18" i="15"/>
  <c r="AD18" i="15"/>
  <c r="AC18" i="15"/>
  <c r="AB18" i="15"/>
  <c r="AA18" i="15"/>
  <c r="Z18" i="15"/>
  <c r="Y18" i="15"/>
  <c r="X18" i="15"/>
  <c r="N18" i="15"/>
  <c r="AE17" i="15"/>
  <c r="AD17" i="15"/>
  <c r="AC17" i="15"/>
  <c r="AB17" i="15"/>
  <c r="AA17" i="15"/>
  <c r="Z17" i="15"/>
  <c r="Y17" i="15"/>
  <c r="X17" i="15"/>
  <c r="N17" i="15"/>
  <c r="AE16" i="15"/>
  <c r="AD16" i="15"/>
  <c r="AC16" i="15"/>
  <c r="AB16" i="15"/>
  <c r="AA16" i="15"/>
  <c r="Z16" i="15"/>
  <c r="Y16" i="15"/>
  <c r="X16" i="15"/>
  <c r="N16" i="15"/>
  <c r="AE15" i="15"/>
  <c r="AD15" i="15"/>
  <c r="AC15" i="15"/>
  <c r="AB15" i="15"/>
  <c r="AA15" i="15"/>
  <c r="Z15" i="15"/>
  <c r="Y15" i="15"/>
  <c r="X15" i="15"/>
  <c r="N15" i="15"/>
  <c r="AE14" i="15"/>
  <c r="AD14" i="15"/>
  <c r="AC14" i="15"/>
  <c r="AB14" i="15"/>
  <c r="AA14" i="15"/>
  <c r="Z14" i="15"/>
  <c r="Y14" i="15"/>
  <c r="X14" i="15"/>
  <c r="N14" i="15"/>
  <c r="AE13" i="15"/>
  <c r="AD13" i="15"/>
  <c r="AC13" i="15"/>
  <c r="AB13" i="15"/>
  <c r="AA13" i="15"/>
  <c r="Z13" i="15"/>
  <c r="Y13" i="15"/>
  <c r="X13" i="15"/>
  <c r="N13" i="15"/>
  <c r="AN12" i="15"/>
  <c r="AM12" i="15"/>
  <c r="AL12" i="15"/>
  <c r="AK12" i="15"/>
  <c r="AJ12" i="15"/>
  <c r="AI12" i="15"/>
  <c r="AH12" i="15"/>
  <c r="AE12" i="15"/>
  <c r="AD12" i="15"/>
  <c r="AC12" i="15"/>
  <c r="AB12" i="15"/>
  <c r="AA12" i="15"/>
  <c r="Z12" i="15"/>
  <c r="Y12" i="15"/>
  <c r="X12" i="15"/>
  <c r="N12" i="15"/>
  <c r="AN11" i="15"/>
  <c r="AM11" i="15"/>
  <c r="AL11" i="15"/>
  <c r="AK11" i="15"/>
  <c r="AJ11" i="15"/>
  <c r="AI11" i="15"/>
  <c r="AH11" i="15"/>
  <c r="AE11" i="15"/>
  <c r="AD11" i="15"/>
  <c r="AC11" i="15"/>
  <c r="AB11" i="15"/>
  <c r="AA11" i="15"/>
  <c r="Z11" i="15"/>
  <c r="Y11" i="15"/>
  <c r="X11" i="15"/>
  <c r="N11" i="15"/>
  <c r="AN10" i="15"/>
  <c r="AM10" i="15"/>
  <c r="AL10" i="15"/>
  <c r="AK10" i="15"/>
  <c r="AJ10" i="15"/>
  <c r="AI10" i="15"/>
  <c r="AH10" i="15"/>
  <c r="AE10" i="15"/>
  <c r="AD10" i="15"/>
  <c r="AC10" i="15"/>
  <c r="AB10" i="15"/>
  <c r="AA10" i="15"/>
  <c r="Z10" i="15"/>
  <c r="Y10" i="15"/>
  <c r="X10" i="15"/>
  <c r="N10" i="15"/>
  <c r="AE9" i="15"/>
  <c r="AD9" i="15"/>
  <c r="AC9" i="15"/>
  <c r="AB9" i="15"/>
  <c r="AA9" i="15"/>
  <c r="Z9" i="15"/>
  <c r="Y9" i="15"/>
  <c r="X9" i="15"/>
  <c r="N9" i="15"/>
  <c r="AN8" i="15"/>
  <c r="AM8" i="15"/>
  <c r="AL8" i="15"/>
  <c r="AK8" i="15"/>
  <c r="AJ8" i="15"/>
  <c r="AI8" i="15"/>
  <c r="AH8" i="15"/>
  <c r="AE8" i="15"/>
  <c r="AD8" i="15"/>
  <c r="AC8" i="15"/>
  <c r="AB8" i="15"/>
  <c r="AA8" i="15"/>
  <c r="Z8" i="15"/>
  <c r="Y8" i="15"/>
  <c r="X8" i="15"/>
  <c r="N8" i="15"/>
  <c r="AN7" i="15"/>
  <c r="AM7" i="15"/>
  <c r="AL7" i="15"/>
  <c r="AK7" i="15"/>
  <c r="AJ7" i="15"/>
  <c r="AI7" i="15"/>
  <c r="AH7" i="15"/>
  <c r="AE7" i="15"/>
  <c r="AD7" i="15"/>
  <c r="AC7" i="15"/>
  <c r="AB7" i="15"/>
  <c r="AA7" i="15"/>
  <c r="Z7" i="15"/>
  <c r="Y7" i="15"/>
  <c r="X7" i="15"/>
  <c r="N7" i="15"/>
  <c r="AN6" i="15"/>
  <c r="AM6" i="15"/>
  <c r="AL6" i="15"/>
  <c r="AK6" i="15"/>
  <c r="AJ6" i="15"/>
  <c r="AI6" i="15"/>
  <c r="AH6" i="15"/>
  <c r="X6" i="15"/>
  <c r="N6" i="15"/>
  <c r="AE79" i="12"/>
  <c r="AD79" i="12"/>
  <c r="AC79" i="12"/>
  <c r="AB79" i="12"/>
  <c r="AA79" i="12"/>
  <c r="Z79" i="12"/>
  <c r="Y79" i="12"/>
  <c r="X79" i="12"/>
  <c r="N79" i="12"/>
  <c r="AE78" i="12"/>
  <c r="AD78" i="12"/>
  <c r="AC78" i="12"/>
  <c r="AB78" i="12"/>
  <c r="AA78" i="12"/>
  <c r="Z78" i="12"/>
  <c r="Y78" i="12"/>
  <c r="X78" i="12"/>
  <c r="N78" i="12"/>
  <c r="AE77" i="12"/>
  <c r="AD77" i="12"/>
  <c r="AC77" i="12"/>
  <c r="AB77" i="12"/>
  <c r="AA77" i="12"/>
  <c r="Z77" i="12"/>
  <c r="Y77" i="12"/>
  <c r="X77" i="12"/>
  <c r="N77" i="12"/>
  <c r="AE76" i="12"/>
  <c r="AD76" i="12"/>
  <c r="AC76" i="12"/>
  <c r="AB76" i="12"/>
  <c r="AA76" i="12"/>
  <c r="Z76" i="12"/>
  <c r="Y76" i="12"/>
  <c r="X76" i="12"/>
  <c r="N76" i="12"/>
  <c r="AE75" i="12"/>
  <c r="AD75" i="12"/>
  <c r="AC75" i="12"/>
  <c r="AB75" i="12"/>
  <c r="AA75" i="12"/>
  <c r="Z75" i="12"/>
  <c r="Y75" i="12"/>
  <c r="X75" i="12"/>
  <c r="N75" i="12"/>
  <c r="AE74" i="12"/>
  <c r="AD74" i="12"/>
  <c r="AC74" i="12"/>
  <c r="AB74" i="12"/>
  <c r="AA74" i="12"/>
  <c r="Z74" i="12"/>
  <c r="Y74" i="12"/>
  <c r="X74" i="12"/>
  <c r="N74" i="12"/>
  <c r="AE73" i="12"/>
  <c r="AD73" i="12"/>
  <c r="AC73" i="12"/>
  <c r="AB73" i="12"/>
  <c r="AA73" i="12"/>
  <c r="Z73" i="12"/>
  <c r="Y73" i="12"/>
  <c r="X73" i="12"/>
  <c r="N73" i="12"/>
  <c r="AE72" i="12"/>
  <c r="AD72" i="12"/>
  <c r="AC72" i="12"/>
  <c r="AB72" i="12"/>
  <c r="AA72" i="12"/>
  <c r="Z72" i="12"/>
  <c r="Y72" i="12"/>
  <c r="X72" i="12"/>
  <c r="N72" i="12"/>
  <c r="AE71" i="12"/>
  <c r="AD71" i="12"/>
  <c r="AC71" i="12"/>
  <c r="AB71" i="12"/>
  <c r="AA71" i="12"/>
  <c r="Z71" i="12"/>
  <c r="Y71" i="12"/>
  <c r="X71" i="12"/>
  <c r="N71" i="12"/>
  <c r="AE70" i="12"/>
  <c r="AD70" i="12"/>
  <c r="AC70" i="12"/>
  <c r="AB70" i="12"/>
  <c r="AA70" i="12"/>
  <c r="Z70" i="12"/>
  <c r="Y70" i="12"/>
  <c r="X70" i="12"/>
  <c r="N70" i="12"/>
  <c r="AE69" i="12"/>
  <c r="AD69" i="12"/>
  <c r="AC69" i="12"/>
  <c r="AB69" i="12"/>
  <c r="AA69" i="12"/>
  <c r="Z69" i="12"/>
  <c r="Y69" i="12"/>
  <c r="X69" i="12"/>
  <c r="N69" i="12"/>
  <c r="AE68" i="12"/>
  <c r="AD68" i="12"/>
  <c r="AC68" i="12"/>
  <c r="AB68" i="12"/>
  <c r="AA68" i="12"/>
  <c r="Z68" i="12"/>
  <c r="Y68" i="12"/>
  <c r="X68" i="12"/>
  <c r="N68" i="12"/>
  <c r="AE67" i="12"/>
  <c r="AD67" i="12"/>
  <c r="AC67" i="12"/>
  <c r="AB67" i="12"/>
  <c r="AA67" i="12"/>
  <c r="Z67" i="12"/>
  <c r="Y67" i="12"/>
  <c r="X67" i="12"/>
  <c r="N67" i="12"/>
  <c r="AE66" i="12"/>
  <c r="AD66" i="12"/>
  <c r="AC66" i="12"/>
  <c r="AB66" i="12"/>
  <c r="AA66" i="12"/>
  <c r="Z66" i="12"/>
  <c r="Y66" i="12"/>
  <c r="X66" i="12"/>
  <c r="N66" i="12"/>
  <c r="AE65" i="12"/>
  <c r="AD65" i="12"/>
  <c r="AC65" i="12"/>
  <c r="AB65" i="12"/>
  <c r="AA65" i="12"/>
  <c r="Z65" i="12"/>
  <c r="Y65" i="12"/>
  <c r="X65" i="12"/>
  <c r="N65" i="12"/>
  <c r="AE64" i="12"/>
  <c r="AD64" i="12"/>
  <c r="AC64" i="12"/>
  <c r="AB64" i="12"/>
  <c r="AA64" i="12"/>
  <c r="Z64" i="12"/>
  <c r="Y64" i="12"/>
  <c r="X64" i="12"/>
  <c r="N64" i="12"/>
  <c r="AE63" i="12"/>
  <c r="AD63" i="12"/>
  <c r="AC63" i="12"/>
  <c r="AB63" i="12"/>
  <c r="AA63" i="12"/>
  <c r="Z63" i="12"/>
  <c r="Y63" i="12"/>
  <c r="X63" i="12"/>
  <c r="N63" i="12"/>
  <c r="AE62" i="12"/>
  <c r="AD62" i="12"/>
  <c r="AC62" i="12"/>
  <c r="AB62" i="12"/>
  <c r="AA62" i="12"/>
  <c r="Z62" i="12"/>
  <c r="Y62" i="12"/>
  <c r="X62" i="12"/>
  <c r="N62" i="12"/>
  <c r="AE61" i="12"/>
  <c r="AD61" i="12"/>
  <c r="AC61" i="12"/>
  <c r="AB61" i="12"/>
  <c r="AA61" i="12"/>
  <c r="Z61" i="12"/>
  <c r="Y61" i="12"/>
  <c r="X61" i="12"/>
  <c r="N61" i="12"/>
  <c r="AE60" i="12"/>
  <c r="AD60" i="12"/>
  <c r="AC60" i="12"/>
  <c r="AB60" i="12"/>
  <c r="AA60" i="12"/>
  <c r="Z60" i="12"/>
  <c r="Y60" i="12"/>
  <c r="X60" i="12"/>
  <c r="N60" i="12"/>
  <c r="AE59" i="12"/>
  <c r="AD59" i="12"/>
  <c r="AC59" i="12"/>
  <c r="AB59" i="12"/>
  <c r="AA59" i="12"/>
  <c r="Z59" i="12"/>
  <c r="Y59" i="12"/>
  <c r="X59" i="12"/>
  <c r="N59" i="12"/>
  <c r="AE58" i="12"/>
  <c r="AD58" i="12"/>
  <c r="AC58" i="12"/>
  <c r="AB58" i="12"/>
  <c r="AA58" i="12"/>
  <c r="Z58" i="12"/>
  <c r="Y58" i="12"/>
  <c r="X58" i="12"/>
  <c r="N58" i="12"/>
  <c r="AE57" i="12"/>
  <c r="AD57" i="12"/>
  <c r="AC57" i="12"/>
  <c r="AB57" i="12"/>
  <c r="AA57" i="12"/>
  <c r="Z57" i="12"/>
  <c r="Y57" i="12"/>
  <c r="X57" i="12"/>
  <c r="N57" i="12"/>
  <c r="AE56" i="12"/>
  <c r="AD56" i="12"/>
  <c r="AC56" i="12"/>
  <c r="AB56" i="12"/>
  <c r="AA56" i="12"/>
  <c r="Z56" i="12"/>
  <c r="Y56" i="12"/>
  <c r="X56" i="12"/>
  <c r="N56" i="12"/>
  <c r="AE55" i="12"/>
  <c r="AD55" i="12"/>
  <c r="AC55" i="12"/>
  <c r="AB55" i="12"/>
  <c r="AA55" i="12"/>
  <c r="Z55" i="12"/>
  <c r="Y55" i="12"/>
  <c r="X55" i="12"/>
  <c r="N55" i="12"/>
  <c r="AE54" i="12"/>
  <c r="AD54" i="12"/>
  <c r="AC54" i="12"/>
  <c r="AB54" i="12"/>
  <c r="AA54" i="12"/>
  <c r="Z54" i="12"/>
  <c r="Y54" i="12"/>
  <c r="X54" i="12"/>
  <c r="N54" i="12"/>
  <c r="AE53" i="12"/>
  <c r="AD53" i="12"/>
  <c r="AC53" i="12"/>
  <c r="AB53" i="12"/>
  <c r="AA53" i="12"/>
  <c r="Z53" i="12"/>
  <c r="Y53" i="12"/>
  <c r="X53" i="12"/>
  <c r="N53" i="12"/>
  <c r="AE52" i="12"/>
  <c r="AD52" i="12"/>
  <c r="AC52" i="12"/>
  <c r="AB52" i="12"/>
  <c r="AA52" i="12"/>
  <c r="Z52" i="12"/>
  <c r="Y52" i="12"/>
  <c r="X52" i="12"/>
  <c r="N52" i="12"/>
  <c r="AE51" i="12"/>
  <c r="AD51" i="12"/>
  <c r="AC51" i="12"/>
  <c r="AB51" i="12"/>
  <c r="AA51" i="12"/>
  <c r="Z51" i="12"/>
  <c r="Y51" i="12"/>
  <c r="X51" i="12"/>
  <c r="N51" i="12"/>
  <c r="AE50" i="12"/>
  <c r="AD50" i="12"/>
  <c r="AC50" i="12"/>
  <c r="AB50" i="12"/>
  <c r="AA50" i="12"/>
  <c r="Z50" i="12"/>
  <c r="Y50" i="12"/>
  <c r="X50" i="12"/>
  <c r="N50" i="12"/>
  <c r="AE49" i="12"/>
  <c r="AD49" i="12"/>
  <c r="AC49" i="12"/>
  <c r="AB49" i="12"/>
  <c r="AA49" i="12"/>
  <c r="Z49" i="12"/>
  <c r="Y49" i="12"/>
  <c r="X49" i="12"/>
  <c r="N49" i="12"/>
  <c r="AE48" i="12"/>
  <c r="AD48" i="12"/>
  <c r="AC48" i="12"/>
  <c r="AB48" i="12"/>
  <c r="AA48" i="12"/>
  <c r="Z48" i="12"/>
  <c r="Y48" i="12"/>
  <c r="X48" i="12"/>
  <c r="N48" i="12"/>
  <c r="AE47" i="12"/>
  <c r="AD47" i="12"/>
  <c r="AC47" i="12"/>
  <c r="AB47" i="12"/>
  <c r="AA47" i="12"/>
  <c r="Z47" i="12"/>
  <c r="Y47" i="12"/>
  <c r="X47" i="12"/>
  <c r="N47" i="12"/>
  <c r="AE46" i="12"/>
  <c r="AD46" i="12"/>
  <c r="AC46" i="12"/>
  <c r="AB46" i="12"/>
  <c r="AA46" i="12"/>
  <c r="Z46" i="12"/>
  <c r="Y46" i="12"/>
  <c r="X46" i="12"/>
  <c r="N46" i="12"/>
  <c r="AE45" i="12"/>
  <c r="AD45" i="12"/>
  <c r="AC45" i="12"/>
  <c r="AB45" i="12"/>
  <c r="AA45" i="12"/>
  <c r="Z45" i="12"/>
  <c r="Y45" i="12"/>
  <c r="X45" i="12"/>
  <c r="N45" i="12"/>
  <c r="AE44" i="12"/>
  <c r="AD44" i="12"/>
  <c r="AC44" i="12"/>
  <c r="AB44" i="12"/>
  <c r="AA44" i="12"/>
  <c r="Z44" i="12"/>
  <c r="Y44" i="12"/>
  <c r="X44" i="12"/>
  <c r="N44" i="12"/>
  <c r="AE43" i="12"/>
  <c r="AD43" i="12"/>
  <c r="AC43" i="12"/>
  <c r="AB43" i="12"/>
  <c r="AA43" i="12"/>
  <c r="Z43" i="12"/>
  <c r="Y43" i="12"/>
  <c r="X43" i="12"/>
  <c r="N43" i="12"/>
  <c r="AE42" i="12"/>
  <c r="AD42" i="12"/>
  <c r="AC42" i="12"/>
  <c r="AB42" i="12"/>
  <c r="AA42" i="12"/>
  <c r="Z42" i="12"/>
  <c r="Y42" i="12"/>
  <c r="X42" i="12"/>
  <c r="N42" i="12"/>
  <c r="AE41" i="12"/>
  <c r="AD41" i="12"/>
  <c r="AC41" i="12"/>
  <c r="AB41" i="12"/>
  <c r="AA41" i="12"/>
  <c r="Z41" i="12"/>
  <c r="Y41" i="12"/>
  <c r="X41" i="12"/>
  <c r="N41" i="12"/>
  <c r="AE40" i="12"/>
  <c r="AD40" i="12"/>
  <c r="AC40" i="12"/>
  <c r="AB40" i="12"/>
  <c r="AA40" i="12"/>
  <c r="Z40" i="12"/>
  <c r="Y40" i="12"/>
  <c r="X40" i="12"/>
  <c r="N40" i="12"/>
  <c r="AE39" i="12"/>
  <c r="AD39" i="12"/>
  <c r="AC39" i="12"/>
  <c r="AB39" i="12"/>
  <c r="AA39" i="12"/>
  <c r="Z39" i="12"/>
  <c r="Y39" i="12"/>
  <c r="X39" i="12"/>
  <c r="N39" i="12"/>
  <c r="AE38" i="12"/>
  <c r="AD38" i="12"/>
  <c r="AC38" i="12"/>
  <c r="AB38" i="12"/>
  <c r="AA38" i="12"/>
  <c r="Z38" i="12"/>
  <c r="Y38" i="12"/>
  <c r="X38" i="12"/>
  <c r="N38" i="12"/>
  <c r="AE37" i="12"/>
  <c r="AD37" i="12"/>
  <c r="AC37" i="12"/>
  <c r="AB37" i="12"/>
  <c r="AA37" i="12"/>
  <c r="Z37" i="12"/>
  <c r="Y37" i="12"/>
  <c r="X37" i="12"/>
  <c r="N37" i="12"/>
  <c r="AE36" i="12"/>
  <c r="AD36" i="12"/>
  <c r="AC36" i="12"/>
  <c r="AB36" i="12"/>
  <c r="AA36" i="12"/>
  <c r="Z36" i="12"/>
  <c r="Y36" i="12"/>
  <c r="X36" i="12"/>
  <c r="N36" i="12"/>
  <c r="AE35" i="12"/>
  <c r="AD35" i="12"/>
  <c r="AC35" i="12"/>
  <c r="AB35" i="12"/>
  <c r="AA35" i="12"/>
  <c r="Z35" i="12"/>
  <c r="Y35" i="12"/>
  <c r="X35" i="12"/>
  <c r="N35" i="12"/>
  <c r="AE34" i="12"/>
  <c r="AD34" i="12"/>
  <c r="AC34" i="12"/>
  <c r="AB34" i="12"/>
  <c r="AA34" i="12"/>
  <c r="Z34" i="12"/>
  <c r="Y34" i="12"/>
  <c r="X34" i="12"/>
  <c r="N34" i="12"/>
  <c r="AE33" i="12"/>
  <c r="AD33" i="12"/>
  <c r="AC33" i="12"/>
  <c r="AB33" i="12"/>
  <c r="AA33" i="12"/>
  <c r="Z33" i="12"/>
  <c r="Y33" i="12"/>
  <c r="X33" i="12"/>
  <c r="N33" i="12"/>
  <c r="AE32" i="12"/>
  <c r="AD32" i="12"/>
  <c r="AC32" i="12"/>
  <c r="AB32" i="12"/>
  <c r="AA32" i="12"/>
  <c r="Z32" i="12"/>
  <c r="Y32" i="12"/>
  <c r="X32" i="12"/>
  <c r="N32" i="12"/>
  <c r="AE31" i="12"/>
  <c r="AD31" i="12"/>
  <c r="AC31" i="12"/>
  <c r="AB31" i="12"/>
  <c r="AA31" i="12"/>
  <c r="Z31" i="12"/>
  <c r="Y31" i="12"/>
  <c r="X31" i="12"/>
  <c r="N31" i="12"/>
  <c r="AE30" i="12"/>
  <c r="AD30" i="12"/>
  <c r="AC30" i="12"/>
  <c r="AB30" i="12"/>
  <c r="AA30" i="12"/>
  <c r="Z30" i="12"/>
  <c r="Y30" i="12"/>
  <c r="X30" i="12"/>
  <c r="N30" i="12"/>
  <c r="AE29" i="12"/>
  <c r="AD29" i="12"/>
  <c r="AC29" i="12"/>
  <c r="AB29" i="12"/>
  <c r="AA29" i="12"/>
  <c r="Z29" i="12"/>
  <c r="Y29" i="12"/>
  <c r="X29" i="12"/>
  <c r="N29" i="12"/>
  <c r="AE28" i="12"/>
  <c r="AD28" i="12"/>
  <c r="AC28" i="12"/>
  <c r="AB28" i="12"/>
  <c r="AA28" i="12"/>
  <c r="Z28" i="12"/>
  <c r="Y28" i="12"/>
  <c r="X28" i="12"/>
  <c r="N28" i="12"/>
  <c r="AE27" i="12"/>
  <c r="AD27" i="12"/>
  <c r="AC27" i="12"/>
  <c r="AB27" i="12"/>
  <c r="AA27" i="12"/>
  <c r="Z27" i="12"/>
  <c r="Y27" i="12"/>
  <c r="X27" i="12"/>
  <c r="N27" i="12"/>
  <c r="AE26" i="12"/>
  <c r="AD26" i="12"/>
  <c r="AC26" i="12"/>
  <c r="AB26" i="12"/>
  <c r="AA26" i="12"/>
  <c r="Z26" i="12"/>
  <c r="Y26" i="12"/>
  <c r="X26" i="12"/>
  <c r="N26" i="12"/>
  <c r="AE25" i="12"/>
  <c r="AD25" i="12"/>
  <c r="AC25" i="12"/>
  <c r="AB25" i="12"/>
  <c r="AA25" i="12"/>
  <c r="Z25" i="12"/>
  <c r="Y25" i="12"/>
  <c r="X25" i="12"/>
  <c r="N25" i="12"/>
  <c r="AE24" i="12"/>
  <c r="AD24" i="12"/>
  <c r="AC24" i="12"/>
  <c r="AB24" i="12"/>
  <c r="AA24" i="12"/>
  <c r="Z24" i="12"/>
  <c r="Y24" i="12"/>
  <c r="X24" i="12"/>
  <c r="N24" i="12"/>
  <c r="AE23" i="12"/>
  <c r="AD23" i="12"/>
  <c r="AC23" i="12"/>
  <c r="AB23" i="12"/>
  <c r="AA23" i="12"/>
  <c r="Z23" i="12"/>
  <c r="Y23" i="12"/>
  <c r="X23" i="12"/>
  <c r="N23" i="12"/>
  <c r="AE22" i="12"/>
  <c r="AD22" i="12"/>
  <c r="AC22" i="12"/>
  <c r="AB22" i="12"/>
  <c r="AA22" i="12"/>
  <c r="Z22" i="12"/>
  <c r="Y22" i="12"/>
  <c r="X22" i="12"/>
  <c r="N22" i="12"/>
  <c r="AE21" i="12"/>
  <c r="AD21" i="12"/>
  <c r="AC21" i="12"/>
  <c r="AB21" i="12"/>
  <c r="AA21" i="12"/>
  <c r="Z21" i="12"/>
  <c r="Y21" i="12"/>
  <c r="X21" i="12"/>
  <c r="N21" i="12"/>
  <c r="AE20" i="12"/>
  <c r="AD20" i="12"/>
  <c r="AC20" i="12"/>
  <c r="AB20" i="12"/>
  <c r="AA20" i="12"/>
  <c r="Z20" i="12"/>
  <c r="Y20" i="12"/>
  <c r="X20" i="12"/>
  <c r="N20" i="12"/>
  <c r="AE19" i="12"/>
  <c r="AD19" i="12"/>
  <c r="AC19" i="12"/>
  <c r="AB19" i="12"/>
  <c r="AA19" i="12"/>
  <c r="Z19" i="12"/>
  <c r="Y19" i="12"/>
  <c r="X19" i="12"/>
  <c r="N19" i="12"/>
  <c r="AE18" i="12"/>
  <c r="AD18" i="12"/>
  <c r="AC18" i="12"/>
  <c r="AB18" i="12"/>
  <c r="AA18" i="12"/>
  <c r="Z18" i="12"/>
  <c r="Y18" i="12"/>
  <c r="X18" i="12"/>
  <c r="N18" i="12"/>
  <c r="AE17" i="12"/>
  <c r="AD17" i="12"/>
  <c r="AC17" i="12"/>
  <c r="AB17" i="12"/>
  <c r="AA17" i="12"/>
  <c r="Z17" i="12"/>
  <c r="Y17" i="12"/>
  <c r="X17" i="12"/>
  <c r="N17" i="12"/>
  <c r="AE16" i="12"/>
  <c r="AD16" i="12"/>
  <c r="AC16" i="12"/>
  <c r="AB16" i="12"/>
  <c r="AA16" i="12"/>
  <c r="Z16" i="12"/>
  <c r="Y16" i="12"/>
  <c r="X16" i="12"/>
  <c r="N16" i="12"/>
  <c r="AE15" i="12"/>
  <c r="AD15" i="12"/>
  <c r="AC15" i="12"/>
  <c r="AB15" i="12"/>
  <c r="AA15" i="12"/>
  <c r="Z15" i="12"/>
  <c r="Y15" i="12"/>
  <c r="X15" i="12"/>
  <c r="N15" i="12"/>
  <c r="AE14" i="12"/>
  <c r="AD14" i="12"/>
  <c r="AC14" i="12"/>
  <c r="AB14" i="12"/>
  <c r="AA14" i="12"/>
  <c r="Z14" i="12"/>
  <c r="Y14" i="12"/>
  <c r="X14" i="12"/>
  <c r="N14" i="12"/>
  <c r="AE13" i="12"/>
  <c r="AD13" i="12"/>
  <c r="AC13" i="12"/>
  <c r="AB13" i="12"/>
  <c r="AA13" i="12"/>
  <c r="Z13" i="12"/>
  <c r="Y13" i="12"/>
  <c r="X13" i="12"/>
  <c r="N13" i="12"/>
  <c r="AN12" i="12"/>
  <c r="AM12" i="12"/>
  <c r="AL12" i="12"/>
  <c r="AK12" i="12"/>
  <c r="AJ12" i="12"/>
  <c r="AI12" i="12"/>
  <c r="AH12" i="12"/>
  <c r="AE12" i="12"/>
  <c r="AD12" i="12"/>
  <c r="AC12" i="12"/>
  <c r="AB12" i="12"/>
  <c r="AA12" i="12"/>
  <c r="Z12" i="12"/>
  <c r="Y12" i="12"/>
  <c r="X12" i="12"/>
  <c r="N12" i="12"/>
  <c r="AN11" i="12"/>
  <c r="AM11" i="12"/>
  <c r="AL11" i="12"/>
  <c r="AK11" i="12"/>
  <c r="AJ11" i="12"/>
  <c r="AI11" i="12"/>
  <c r="AH11" i="12"/>
  <c r="AE11" i="12"/>
  <c r="AD11" i="12"/>
  <c r="AC11" i="12"/>
  <c r="AB11" i="12"/>
  <c r="AA11" i="12"/>
  <c r="Z11" i="12"/>
  <c r="Y11" i="12"/>
  <c r="X11" i="12"/>
  <c r="N11" i="12"/>
  <c r="AN10" i="12"/>
  <c r="AM10" i="12"/>
  <c r="AL10" i="12"/>
  <c r="AK10" i="12"/>
  <c r="AJ10" i="12"/>
  <c r="AI10" i="12"/>
  <c r="AH10" i="12"/>
  <c r="AE10" i="12"/>
  <c r="AD10" i="12"/>
  <c r="AC10" i="12"/>
  <c r="AB10" i="12"/>
  <c r="AA10" i="12"/>
  <c r="Z10" i="12"/>
  <c r="Y10" i="12"/>
  <c r="X10" i="12"/>
  <c r="N10" i="12"/>
  <c r="AE9" i="12"/>
  <c r="AD9" i="12"/>
  <c r="AC9" i="12"/>
  <c r="AB9" i="12"/>
  <c r="AA9" i="12"/>
  <c r="Z9" i="12"/>
  <c r="Y9" i="12"/>
  <c r="X9" i="12"/>
  <c r="N9" i="12"/>
  <c r="AN8" i="12"/>
  <c r="AM8" i="12"/>
  <c r="AL8" i="12"/>
  <c r="AK8" i="12"/>
  <c r="AJ8" i="12"/>
  <c r="AI8" i="12"/>
  <c r="AH8" i="12"/>
  <c r="AE8" i="12"/>
  <c r="AD8" i="12"/>
  <c r="AC8" i="12"/>
  <c r="AB8" i="12"/>
  <c r="AA8" i="12"/>
  <c r="Z8" i="12"/>
  <c r="Y8" i="12"/>
  <c r="X8" i="12"/>
  <c r="N8" i="12"/>
  <c r="AN7" i="12"/>
  <c r="AM7" i="12"/>
  <c r="AL7" i="12"/>
  <c r="AK7" i="12"/>
  <c r="AJ7" i="12"/>
  <c r="AI7" i="12"/>
  <c r="AH7" i="12"/>
  <c r="AE7" i="12"/>
  <c r="AD7" i="12"/>
  <c r="AC7" i="12"/>
  <c r="AB7" i="12"/>
  <c r="AA7" i="12"/>
  <c r="Z7" i="12"/>
  <c r="Y7" i="12"/>
  <c r="X7" i="12"/>
  <c r="N7" i="12"/>
  <c r="AN6" i="12"/>
  <c r="AM6" i="12"/>
  <c r="AL6" i="12"/>
  <c r="AK6" i="12"/>
  <c r="AJ6" i="12"/>
  <c r="AI6" i="12"/>
  <c r="AH6" i="12"/>
  <c r="X6" i="12"/>
  <c r="N6" i="12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H11" i="9"/>
  <c r="G11" i="9"/>
  <c r="G11" i="9" a="1"/>
  <c r="F11" i="9"/>
  <c r="F11" i="9" a="1"/>
  <c r="H10" i="9"/>
  <c r="G10" i="9"/>
  <c r="G10" i="9" a="1"/>
  <c r="F10" i="9"/>
  <c r="F10" i="9" a="1"/>
  <c r="H9" i="9"/>
  <c r="G9" i="9"/>
  <c r="G9" i="9" a="1"/>
  <c r="F9" i="9"/>
  <c r="F9" i="9" a="1"/>
  <c r="H8" i="9"/>
  <c r="G8" i="9"/>
  <c r="G8" i="9" a="1"/>
  <c r="F8" i="9"/>
  <c r="F8" i="9" a="1"/>
  <c r="H7" i="9"/>
  <c r="G7" i="9"/>
  <c r="G7" i="9" a="1"/>
  <c r="F7" i="9"/>
  <c r="F7" i="9" a="1"/>
  <c r="H6" i="9"/>
  <c r="G6" i="9"/>
  <c r="G6" i="9" a="1"/>
  <c r="F6" i="9"/>
  <c r="F6" i="9" a="1"/>
  <c r="G5" i="9"/>
  <c r="G5" i="9" a="1"/>
  <c r="E30" i="7"/>
  <c r="E30" i="7" a="1"/>
  <c r="D30" i="7"/>
  <c r="D30" i="7" a="1"/>
  <c r="C30" i="7"/>
  <c r="C30" i="7" a="1"/>
  <c r="B30" i="7"/>
  <c r="E29" i="7"/>
  <c r="E29" i="7" a="1"/>
  <c r="D29" i="7"/>
  <c r="D29" i="7" a="1"/>
  <c r="C29" i="7"/>
  <c r="C29" i="7" a="1"/>
  <c r="B29" i="7"/>
  <c r="E28" i="7"/>
  <c r="E28" i="7" a="1"/>
  <c r="D28" i="7"/>
  <c r="D28" i="7" a="1"/>
  <c r="C28" i="7"/>
  <c r="C28" i="7" a="1"/>
  <c r="B28" i="7"/>
  <c r="E27" i="7"/>
  <c r="E27" i="7" a="1"/>
  <c r="D27" i="7"/>
  <c r="D27" i="7" a="1"/>
  <c r="C27" i="7"/>
  <c r="C27" i="7" a="1"/>
  <c r="B27" i="7"/>
  <c r="E26" i="7"/>
  <c r="E26" i="7" a="1"/>
  <c r="D26" i="7"/>
  <c r="D26" i="7" a="1"/>
  <c r="C26" i="7"/>
  <c r="C26" i="7" a="1"/>
  <c r="B26" i="7"/>
  <c r="E25" i="7"/>
  <c r="E25" i="7" a="1"/>
  <c r="D25" i="7"/>
  <c r="D25" i="7" a="1"/>
  <c r="C25" i="7"/>
  <c r="C25" i="7" a="1"/>
  <c r="B25" i="7"/>
  <c r="E24" i="7"/>
  <c r="E24" i="7" a="1"/>
  <c r="D24" i="7"/>
  <c r="D24" i="7" a="1"/>
  <c r="C24" i="7"/>
  <c r="C24" i="7" a="1"/>
  <c r="B24" i="7"/>
  <c r="E23" i="7"/>
  <c r="E23" i="7" a="1"/>
  <c r="D23" i="7"/>
  <c r="D23" i="7" a="1"/>
  <c r="C23" i="7"/>
  <c r="C23" i="7" a="1"/>
  <c r="B23" i="7"/>
  <c r="E22" i="7"/>
  <c r="E22" i="7" a="1"/>
  <c r="D22" i="7"/>
  <c r="D22" i="7" a="1"/>
  <c r="C22" i="7"/>
  <c r="C22" i="7" a="1"/>
  <c r="B22" i="7"/>
  <c r="E21" i="7"/>
  <c r="E21" i="7" a="1"/>
  <c r="D21" i="7"/>
  <c r="D21" i="7" a="1"/>
  <c r="C21" i="7"/>
  <c r="C21" i="7" a="1"/>
  <c r="B21" i="7"/>
  <c r="E20" i="7"/>
  <c r="E20" i="7" a="1"/>
  <c r="D20" i="7"/>
  <c r="D20" i="7" a="1"/>
  <c r="C20" i="7"/>
  <c r="C20" i="7" a="1"/>
  <c r="B20" i="7"/>
  <c r="E19" i="7"/>
  <c r="E19" i="7" a="1"/>
  <c r="D19" i="7"/>
  <c r="D19" i="7" a="1"/>
  <c r="C19" i="7"/>
  <c r="C19" i="7" a="1"/>
  <c r="B19" i="7"/>
  <c r="E18" i="7"/>
  <c r="E18" i="7" a="1"/>
  <c r="D18" i="7"/>
  <c r="D18" i="7" a="1"/>
  <c r="C18" i="7"/>
  <c r="C18" i="7" a="1"/>
  <c r="B18" i="7"/>
  <c r="E17" i="7"/>
  <c r="E17" i="7" a="1"/>
  <c r="D17" i="7"/>
  <c r="D17" i="7" a="1"/>
  <c r="C17" i="7"/>
  <c r="C17" i="7" a="1"/>
  <c r="B17" i="7"/>
  <c r="E16" i="7"/>
  <c r="E16" i="7" a="1"/>
  <c r="D16" i="7"/>
  <c r="D16" i="7" a="1"/>
  <c r="C16" i="7"/>
  <c r="C16" i="7" a="1"/>
  <c r="B16" i="7"/>
  <c r="E15" i="7"/>
  <c r="E15" i="7" a="1"/>
  <c r="D15" i="7"/>
  <c r="D15" i="7" a="1"/>
  <c r="C15" i="7"/>
  <c r="C15" i="7" a="1"/>
  <c r="B15" i="7"/>
  <c r="E14" i="7"/>
  <c r="E14" i="7" a="1"/>
  <c r="D14" i="7"/>
  <c r="D14" i="7" a="1"/>
  <c r="C14" i="7"/>
  <c r="C14" i="7" a="1"/>
  <c r="B14" i="7"/>
  <c r="E13" i="7"/>
  <c r="E13" i="7" a="1"/>
  <c r="D13" i="7"/>
  <c r="D13" i="7" a="1"/>
  <c r="C13" i="7"/>
  <c r="C13" i="7" a="1"/>
  <c r="B13" i="7"/>
  <c r="E12" i="7"/>
  <c r="E12" i="7" a="1"/>
  <c r="D12" i="7"/>
  <c r="D12" i="7" a="1"/>
  <c r="C12" i="7"/>
  <c r="C12" i="7" a="1"/>
  <c r="B12" i="7"/>
  <c r="E11" i="7"/>
  <c r="E11" i="7" a="1"/>
  <c r="D11" i="7"/>
  <c r="D11" i="7" a="1"/>
  <c r="C11" i="7"/>
  <c r="C11" i="7" a="1"/>
  <c r="B11" i="7"/>
  <c r="E10" i="7"/>
  <c r="E10" i="7" a="1"/>
  <c r="D10" i="7"/>
  <c r="D10" i="7" a="1"/>
  <c r="C10" i="7"/>
  <c r="C10" i="7" a="1"/>
  <c r="B10" i="7"/>
  <c r="E9" i="7"/>
  <c r="E9" i="7" a="1"/>
  <c r="D9" i="7"/>
  <c r="D9" i="7" a="1"/>
  <c r="C9" i="7"/>
  <c r="C9" i="7" a="1"/>
  <c r="B9" i="7"/>
  <c r="E8" i="7"/>
  <c r="E8" i="7" a="1"/>
  <c r="D8" i="7"/>
  <c r="D8" i="7" a="1"/>
  <c r="C8" i="7"/>
  <c r="C8" i="7" a="1"/>
  <c r="B8" i="7"/>
  <c r="E7" i="7"/>
  <c r="E7" i="7" a="1"/>
  <c r="D7" i="7"/>
  <c r="D7" i="7" a="1"/>
  <c r="C7" i="7"/>
  <c r="C7" i="7" a="1"/>
  <c r="B7" i="7"/>
  <c r="E6" i="7"/>
  <c r="E6" i="7" a="1"/>
  <c r="D6" i="7"/>
  <c r="D6" i="7" a="1"/>
  <c r="C6" i="7"/>
  <c r="C6" i="7" a="1"/>
  <c r="B6" i="7"/>
  <c r="E5" i="7"/>
  <c r="E5" i="7" a="1"/>
  <c r="D5" i="7"/>
  <c r="D5" i="7" a="1"/>
  <c r="C5" i="7"/>
  <c r="C5" i="7" a="1"/>
  <c r="B5" i="7"/>
  <c r="M4" i="7"/>
  <c r="K445" i="2"/>
  <c r="K445" i="2" a="1"/>
  <c r="J445" i="2"/>
  <c r="J445" i="2" a="1"/>
  <c r="L444" i="2"/>
  <c r="K444" i="2"/>
  <c r="K444" i="2" a="1"/>
  <c r="J444" i="2"/>
  <c r="J444" i="2" a="1"/>
  <c r="I444" i="2"/>
  <c r="L443" i="2"/>
  <c r="K443" i="2"/>
  <c r="K443" i="2" a="1"/>
  <c r="J443" i="2"/>
  <c r="J443" i="2" a="1"/>
  <c r="I443" i="2"/>
  <c r="L439" i="2"/>
  <c r="I439" i="2"/>
  <c r="L438" i="2"/>
  <c r="I438" i="2"/>
  <c r="E435" i="2"/>
  <c r="E434" i="2"/>
  <c r="E433" i="2"/>
  <c r="L430" i="2"/>
  <c r="L429" i="2"/>
  <c r="L428" i="2"/>
  <c r="L425" i="2"/>
  <c r="E425" i="2"/>
  <c r="L424" i="2"/>
  <c r="E424" i="2"/>
  <c r="L423" i="2"/>
  <c r="E423" i="2"/>
  <c r="L420" i="2"/>
  <c r="K420" i="2"/>
  <c r="K420" i="2" a="1"/>
  <c r="J420" i="2"/>
  <c r="J420" i="2" a="1"/>
  <c r="I420" i="2"/>
  <c r="E420" i="2"/>
  <c r="L419" i="2"/>
  <c r="K419" i="2"/>
  <c r="K419" i="2" a="1"/>
  <c r="J419" i="2"/>
  <c r="J419" i="2" a="1"/>
  <c r="I419" i="2"/>
  <c r="E419" i="2"/>
  <c r="L418" i="2"/>
  <c r="K418" i="2"/>
  <c r="K418" i="2" a="1"/>
  <c r="J418" i="2"/>
  <c r="J418" i="2" a="1"/>
  <c r="I418" i="2"/>
  <c r="E418" i="2"/>
  <c r="L415" i="2"/>
  <c r="L414" i="2"/>
  <c r="L413" i="2"/>
  <c r="L390" i="2"/>
  <c r="L389" i="2"/>
  <c r="L388" i="2"/>
  <c r="M378" i="2"/>
  <c r="H378" i="2"/>
  <c r="H378" i="2" a="1"/>
  <c r="A378" i="2"/>
  <c r="A378" i="2" a="1"/>
  <c r="F5" i="9" l="1"/>
  <c r="H5" i="9" s="1"/>
  <c r="L6" i="7"/>
  <c r="M6" i="7" s="1"/>
  <c r="J5" i="7"/>
  <c r="L8" i="7"/>
  <c r="M8" i="7" s="1"/>
  <c r="K7" i="7"/>
  <c r="L7" i="7"/>
  <c r="M7" i="7" s="1"/>
  <c r="J7" i="7"/>
  <c r="K6" i="7"/>
  <c r="J6" i="7"/>
  <c r="J9" i="7"/>
  <c r="L5" i="7"/>
  <c r="M5" i="7" s="1"/>
  <c r="J8" i="7"/>
  <c r="K8" i="7"/>
  <c r="K5" i="7"/>
  <c r="K9" i="7"/>
  <c r="L9" i="7"/>
  <c r="M9" i="7" s="1"/>
  <c r="AD263" i="2" l="1" a="1"/>
  <c r="K438" i="2" a="1"/>
  <c r="K438" i="2"/>
  <c r="J440" i="2" a="1"/>
  <c r="J440" i="2"/>
  <c r="J438" i="2" a="1"/>
  <c r="J438" i="2"/>
  <c r="AD263" i="2"/>
  <c r="K440" i="2" a="1"/>
  <c r="K439" i="2" a="1"/>
  <c r="K439" i="2"/>
  <c r="I440" i="2"/>
  <c r="L445" i="2"/>
  <c r="L440" i="2"/>
  <c r="I445" i="2"/>
  <c r="J439" i="2" a="1"/>
  <c r="J439" i="2"/>
  <c r="K4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5EF8D-E82D-4420-B278-E5F952F954F7}" keepAlive="1" name="Query - All_India_Index_Upto_April23 (1)" description="Connection to the 'All_India_Index_Upto_April23 (1)' query in the workbook." type="5" refreshedVersion="0" background="1">
    <dbPr connection="Provider=Microsoft.Mashup.OleDb.1;Data Source=$Workbook$;Location=&quot;All_India_Index_Upto_April23 (1)&quot;;Extended Properties=&quot;&quot;" command="SELECT * FROM [All_India_Index_Upto_April23 (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<sst xmlns="http://schemas.openxmlformats.org/spreadsheetml/2006/main" count="3194" uniqueCount="176">
  <si>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</si>
  <si>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</si>
  <si>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</si>
  <si>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</si>
  <si>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</si>
  <si>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</si>
  <si>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</si>
  <si>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</si>
  <si>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</si>
  <si>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</si>
  <si>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</si>
  <si>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</si>
  <si>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</si>
  <si>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</si>
  <si>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</si>
  <si>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</si>
  <si>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</si>
  <si>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</si>
  <si>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</si>
  <si>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</si>
  <si>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</si>
  <si>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</si>
  <si>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</si>
  <si>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</si>
  <si>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</si>
  <si>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</si>
  <si>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</si>
  <si>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</si>
  <si>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</si>
  <si>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</si>
  <si>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</si>
  <si>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</si>
  <si>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</si>
  <si>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</si>
  <si>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</si>
  <si>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</si>
  <si>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</si>
  <si>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</si>
  <si>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</si>
  <si>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</si>
  <si>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</si>
  <si>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</si>
  <si>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</si>
  <si>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</si>
  <si>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</si>
  <si>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</si>
  <si>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</si>
  <si>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</si>
  <si>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Mean</t>
  </si>
  <si>
    <t>Median</t>
  </si>
  <si>
    <t>Trim Mean</t>
  </si>
  <si>
    <t>Total Missing Values</t>
  </si>
  <si>
    <t>Replacement</t>
  </si>
  <si>
    <t>Sugar and confectionery</t>
  </si>
  <si>
    <t>Prepared meals/snacks/sweets</t>
  </si>
  <si>
    <t>Food</t>
  </si>
  <si>
    <t>Tobacco &amp; Intoxicants</t>
  </si>
  <si>
    <t>Apparel</t>
  </si>
  <si>
    <t>Household Services</t>
  </si>
  <si>
    <t>Energy</t>
  </si>
  <si>
    <t>Healthcare</t>
  </si>
  <si>
    <t>Transportation</t>
  </si>
  <si>
    <t>Entertainment</t>
  </si>
  <si>
    <t>Personal Care</t>
  </si>
  <si>
    <t>Categories</t>
  </si>
  <si>
    <t>Start Month</t>
  </si>
  <si>
    <t>End Month</t>
  </si>
  <si>
    <t>Starting GI Index</t>
  </si>
  <si>
    <t>Ending GI Index</t>
  </si>
  <si>
    <t>CPI Inflation</t>
  </si>
  <si>
    <t>CPI Inflation %</t>
  </si>
  <si>
    <t>Item Category</t>
  </si>
  <si>
    <t>Broader Category</t>
  </si>
  <si>
    <t>Pan, tobacco, and intoxicants</t>
  </si>
  <si>
    <t>Prepared meals, snacks, sweets, etc.</t>
  </si>
  <si>
    <t>Other Food and Intoxicants</t>
  </si>
  <si>
    <t>Basic Food Items</t>
  </si>
  <si>
    <t>Housing and Utilities</t>
  </si>
  <si>
    <t>Services and Miscellaneous</t>
  </si>
  <si>
    <t>M-O-M Inflation</t>
  </si>
  <si>
    <t>Inflation M-O-M</t>
  </si>
  <si>
    <t>12 Month Inflation</t>
  </si>
  <si>
    <t xml:space="preserve"> </t>
  </si>
  <si>
    <t>Covid Impact on Rural sector</t>
  </si>
  <si>
    <t>Food Products Combined</t>
  </si>
  <si>
    <t>M-O-M Inflation Rate</t>
  </si>
  <si>
    <t>Month and Year</t>
  </si>
  <si>
    <t>2017-18</t>
  </si>
  <si>
    <t>2018-19</t>
  </si>
  <si>
    <t>2019-20</t>
  </si>
  <si>
    <t>2020-21</t>
  </si>
  <si>
    <t>2021-22</t>
  </si>
  <si>
    <t>2022-23</t>
  </si>
  <si>
    <t>Rural Y-O-Y Inflation Rate</t>
  </si>
  <si>
    <t>Covid Impact on Urban sector</t>
  </si>
  <si>
    <t>Urban Y-O-Y Inflation Rate</t>
  </si>
  <si>
    <t>Covid Impact on Rural + Urban sector</t>
  </si>
  <si>
    <t>Rural + Urban Y-O-Y Inflation Rate</t>
  </si>
  <si>
    <t>Category</t>
  </si>
  <si>
    <t>Rural + Urban</t>
  </si>
  <si>
    <t>Import/Export of Crude oil and Petroleum Products</t>
  </si>
  <si>
    <t>IMPORT/EXPORT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</si>
  <si>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</si>
  <si>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</si>
  <si>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</si>
  <si>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</si>
  <si>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</si>
  <si>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</si>
  <si>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</si>
  <si>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</si>
  <si>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</si>
  <si>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</si>
  <si>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</si>
  <si>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</si>
  <si>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</si>
  <si>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 xml:space="preserve"> CRUDE OIL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</si>
  <si>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</si>
  <si>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</si>
  <si>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</si>
  <si>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</si>
  <si>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</si>
  <si>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</si>
  <si>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</si>
  <si>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</si>
  <si>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</si>
  <si>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</si>
  <si>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Others&amp;</t>
  </si>
  <si>
    <t>MS!</t>
  </si>
  <si>
    <t>Naphtha$</t>
  </si>
  <si>
    <t>ATF#</t>
  </si>
  <si>
    <t>LDO</t>
  </si>
  <si>
    <t>LOBS/ Lube Oil</t>
  </si>
  <si>
    <t>Petcoke / CBFS</t>
  </si>
  <si>
    <t>Others%</t>
  </si>
  <si>
    <t>IMPORT^</t>
  </si>
  <si>
    <t>PRODUCTS</t>
  </si>
  <si>
    <t>PRODUCT IMPORT*</t>
  </si>
  <si>
    <t>TOTAL IMPORT</t>
  </si>
  <si>
    <t xml:space="preserve"> PRODUCT EXPORT @</t>
  </si>
  <si>
    <t>TOTAL  PRODUCT EXPORT</t>
  </si>
  <si>
    <t>NET IMPORT</t>
  </si>
  <si>
    <t>('Million US$)</t>
  </si>
  <si>
    <t>('000 Metric Tonnes)</t>
  </si>
  <si>
    <t>Inflation Rate</t>
  </si>
  <si>
    <t>Category Wise M-O-M Percentage</t>
  </si>
  <si>
    <t>Correlation of crude oil price changes in various categories</t>
  </si>
  <si>
    <t>Corelation Value</t>
  </si>
  <si>
    <t>Month &amp; Year</t>
  </si>
  <si>
    <t>April-2021</t>
  </si>
  <si>
    <t>May-2021</t>
  </si>
  <si>
    <t>June-2021</t>
  </si>
  <si>
    <t>July-2021</t>
  </si>
  <si>
    <t>August-2021</t>
  </si>
  <si>
    <t>September-2021</t>
  </si>
  <si>
    <t>October-2021</t>
  </si>
  <si>
    <t>November-2021</t>
  </si>
  <si>
    <t>December-2021</t>
  </si>
  <si>
    <t>January-2022</t>
  </si>
  <si>
    <t>February-2022</t>
  </si>
  <si>
    <t>March-2022</t>
  </si>
  <si>
    <t>April-2022</t>
  </si>
  <si>
    <t>May-2022</t>
  </si>
  <si>
    <t>June-2022</t>
  </si>
  <si>
    <t>July-2022</t>
  </si>
  <si>
    <t>August-2022</t>
  </si>
  <si>
    <t>September-2022</t>
  </si>
  <si>
    <t>October-2022</t>
  </si>
  <si>
    <t>November-2022</t>
  </si>
  <si>
    <t>December-2022</t>
  </si>
  <si>
    <t>January-2023</t>
  </si>
  <si>
    <t>February-2023</t>
  </si>
  <si>
    <t>March-2023</t>
  </si>
  <si>
    <t xml:space="preserve"> Import Quantity (Metric Tonnes)</t>
  </si>
  <si>
    <t>Unit Price (USD/Tonne)</t>
  </si>
  <si>
    <t>MoM Change (%)</t>
  </si>
  <si>
    <t>Import Value (Mn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</si>
</sst>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4"/>
      <color theme="1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i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10" fillId="0" borderId="0"/>
    <xf numFmtId="0" fontId="12" fillId="0" borderId="0"/>
    <xf numFmtId="0" fontId="13" fillId="0" borderId="0"/>
    <xf numFmtId="0" fontId="12" fillId="0" borderId="0"/>
  </cellStyleXfs>
  <cellXfs count="75">
    <xf numFmtId="0" fontId="0" fillId="0" borderId="0" xfId="0"/>
    <xf numFmtId="0" fontId="0" fillId="0" borderId="1" xfId="0" applyBorder="1"/>
    <xf numFmtId="2" fontId="0" fillId="0" borderId="0" xfId="0" applyNumberFormat="1"/>
    <xf numFmtId="164" fontId="0" fillId="0" borderId="0" xfId="0" applyNumberFormat="1"/>
    <xf numFmtId="0" fontId="2" fillId="0" borderId="3" xfId="0" applyFont="1" applyBorder="1" applyAlignment="1">
      <alignment wrapText="1"/>
    </xf>
    <xf numFmtId="0" fontId="0" fillId="0" borderId="3" xfId="0" applyBorder="1"/>
    <xf numFmtId="2" fontId="0" fillId="0" borderId="3" xfId="0" applyNumberFormat="1" applyBorder="1"/>
    <xf numFmtId="0" fontId="1" fillId="0" borderId="1" xfId="0" applyFont="1" applyBorder="1"/>
    <xf numFmtId="0" fontId="1" fillId="0" borderId="2" xfId="0" applyFont="1" applyBorder="1"/>
    <xf numFmtId="10" fontId="0" fillId="0" borderId="3" xfId="1" applyNumberFormat="1" applyFont="1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1" fillId="0" borderId="0" xfId="0" applyFont="1"/>
    <xf numFmtId="1" fontId="0" fillId="0" borderId="3" xfId="0" applyNumberFormat="1" applyBorder="1"/>
    <xf numFmtId="0" fontId="0" fillId="0" borderId="0" xfId="0" applyAlignment="1">
      <alignment horizontal="center"/>
    </xf>
    <xf numFmtId="1" fontId="0" fillId="0" borderId="3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center"/>
    </xf>
    <xf numFmtId="10" fontId="0" fillId="0" borderId="0" xfId="1" applyNumberFormat="1" applyFont="1" applyBorder="1"/>
    <xf numFmtId="17" fontId="0" fillId="0" borderId="4" xfId="0" applyNumberFormat="1" applyBorder="1" applyAlignment="1">
      <alignment horizontal="center"/>
    </xf>
    <xf numFmtId="10" fontId="0" fillId="0" borderId="3" xfId="1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1" fillId="9" borderId="3" xfId="3" applyFont="1" applyFill="1" applyBorder="1" applyAlignment="1">
      <alignment horizontal="center" vertical="center" wrapText="1"/>
    </xf>
    <xf numFmtId="0" fontId="11" fillId="9" borderId="3" xfId="3" applyFont="1" applyFill="1" applyBorder="1" applyAlignment="1">
      <alignment horizontal="center" vertical="center"/>
    </xf>
    <xf numFmtId="1" fontId="14" fillId="10" borderId="3" xfId="4" applyNumberFormat="1" applyFont="1" applyFill="1" applyBorder="1" applyAlignment="1">
      <alignment horizontal="left"/>
    </xf>
    <xf numFmtId="1" fontId="15" fillId="10" borderId="3" xfId="4" applyNumberFormat="1" applyFont="1" applyFill="1" applyBorder="1" applyAlignment="1">
      <alignment horizontal="center"/>
    </xf>
    <xf numFmtId="1" fontId="14" fillId="10" borderId="3" xfId="4" applyNumberFormat="1" applyFont="1" applyFill="1" applyBorder="1" applyAlignment="1">
      <alignment horizontal="center"/>
    </xf>
    <xf numFmtId="1" fontId="16" fillId="10" borderId="3" xfId="4" applyNumberFormat="1" applyFont="1" applyFill="1" applyBorder="1" applyAlignment="1">
      <alignment horizontal="right"/>
    </xf>
    <xf numFmtId="1" fontId="17" fillId="10" borderId="3" xfId="4" applyNumberFormat="1" applyFont="1" applyFill="1" applyBorder="1" applyAlignment="1">
      <alignment horizontal="right"/>
    </xf>
    <xf numFmtId="3" fontId="16" fillId="10" borderId="3" xfId="4" applyNumberFormat="1" applyFont="1" applyFill="1" applyBorder="1" applyAlignment="1">
      <alignment horizontal="right"/>
    </xf>
    <xf numFmtId="0" fontId="14" fillId="11" borderId="3" xfId="3" applyFont="1" applyFill="1" applyBorder="1" applyAlignment="1">
      <alignment horizontal="center"/>
    </xf>
    <xf numFmtId="1" fontId="17" fillId="11" borderId="3" xfId="3" applyNumberFormat="1" applyFont="1" applyFill="1" applyBorder="1" applyAlignment="1">
      <alignment horizontal="right"/>
    </xf>
    <xf numFmtId="0" fontId="14" fillId="11" borderId="3" xfId="3" applyFont="1" applyFill="1" applyBorder="1"/>
    <xf numFmtId="1" fontId="14" fillId="10" borderId="3" xfId="3" applyNumberFormat="1" applyFont="1" applyFill="1" applyBorder="1" applyAlignment="1">
      <alignment horizontal="left"/>
    </xf>
    <xf numFmtId="1" fontId="16" fillId="10" borderId="3" xfId="5" applyNumberFormat="1" applyFont="1" applyFill="1" applyBorder="1" applyAlignment="1">
      <alignment horizontal="right"/>
    </xf>
    <xf numFmtId="3" fontId="16" fillId="10" borderId="3" xfId="5" applyNumberFormat="1" applyFont="1" applyFill="1" applyBorder="1" applyAlignment="1">
      <alignment horizontal="right"/>
    </xf>
    <xf numFmtId="0" fontId="14" fillId="11" borderId="3" xfId="3" applyFont="1" applyFill="1" applyBorder="1" applyAlignment="1">
      <alignment horizontal="right"/>
    </xf>
    <xf numFmtId="0" fontId="8" fillId="9" borderId="3" xfId="3" applyFont="1" applyFill="1" applyBorder="1" applyAlignment="1">
      <alignment horizontal="center" vertical="center" wrapText="1"/>
    </xf>
    <xf numFmtId="0" fontId="8" fillId="9" borderId="3" xfId="3" applyFont="1" applyFill="1" applyBorder="1" applyAlignment="1">
      <alignment horizontal="center" vertical="center"/>
    </xf>
    <xf numFmtId="1" fontId="18" fillId="10" borderId="3" xfId="4" applyNumberFormat="1" applyFont="1" applyFill="1" applyBorder="1" applyAlignment="1">
      <alignment horizontal="center"/>
    </xf>
    <xf numFmtId="1" fontId="9" fillId="10" borderId="3" xfId="4" applyNumberFormat="1" applyFont="1" applyFill="1" applyBorder="1" applyAlignment="1">
      <alignment horizontal="right"/>
    </xf>
    <xf numFmtId="1" fontId="19" fillId="10" borderId="3" xfId="4" applyNumberFormat="1" applyFont="1" applyFill="1" applyBorder="1" applyAlignment="1">
      <alignment horizontal="right"/>
    </xf>
    <xf numFmtId="1" fontId="19" fillId="11" borderId="3" xfId="3" applyNumberFormat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11" fillId="8" borderId="3" xfId="2" applyFont="1" applyFill="1" applyBorder="1" applyAlignment="1">
      <alignment horizontal="center" vertical="center"/>
    </xf>
    <xf numFmtId="0" fontId="8" fillId="8" borderId="3" xfId="2" applyFont="1" applyFill="1" applyBorder="1" applyAlignment="1">
      <alignment horizontal="center" vertical="center"/>
    </xf>
    <xf numFmtId="0" fontId="20" fillId="0" borderId="8" xfId="0" applyFont="1" applyBorder="1" applyAlignment="1">
      <alignment horizontal="right"/>
    </xf>
    <xf numFmtId="0" fontId="21" fillId="0" borderId="0" xfId="2" applyFont="1" applyAlignment="1">
      <alignment horizontal="righ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6">
    <cellStyle name="Normal" xfId="0" builtinId="0"/>
    <cellStyle name="Normal 2 2 3 5" xfId="4" xr:uid="{5059C797-97B9-477A-BBB0-C2E29DB128EA}"/>
    <cellStyle name="Normal 259" xfId="3" xr:uid="{9844D6F4-BEB0-4449-B1E8-0C4EFE382DAA}"/>
    <cellStyle name="Normal 259 4" xfId="5" xr:uid="{6DBDF658-2B37-4338-B945-1020EEDDD843}"/>
    <cellStyle name="Normal 4 2" xfId="2" xr:uid="{658D98A6-8B9F-4BB8-B2A4-C3D9F019EC5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</a:t>
            </a:r>
            <a:r>
              <a:rPr lang="en-US" baseline="0"/>
              <a:t> of borader Categories in CPI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Sector wise Inflation+'Q1 CPI Basket Contri Analysis'!$M$4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5C-4EE7-B714-CEDE3E597F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5C-4EE7-B714-CEDE3E597F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5C-4EE7-B714-CEDE3E597F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B5C-4EE7-B714-CEDE3E597F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5C-4EE7-B714-CEDE3E597F24}"/>
              </c:ext>
            </c:extLst>
          </c:dPt>
          <c:dLbls>
            <c:dLbl>
              <c:idx val="0"/>
              <c:layout>
                <c:manualLayout>
                  <c:x val="0.1584607851665103"/>
                  <c:y val="-4.456823730515872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82225879037986"/>
                      <c:h val="6.22618275153067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B5C-4EE7-B714-CEDE3E597F24}"/>
                </c:ext>
              </c:extLst>
            </c:dLbl>
            <c:dLbl>
              <c:idx val="1"/>
              <c:layout>
                <c:manualLayout>
                  <c:x val="0.21505398001933612"/>
                  <c:y val="3.5654940775129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752694366570741"/>
                      <c:h val="8.00224455469136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B5C-4EE7-B714-CEDE3E597F24}"/>
                </c:ext>
              </c:extLst>
            </c:dLbl>
            <c:dLbl>
              <c:idx val="2"/>
              <c:layout>
                <c:manualLayout>
                  <c:x val="-0.2286362362714929"/>
                  <c:y val="7.79942398185263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939450546003154"/>
                      <c:h val="8.9002769898401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B5C-4EE7-B714-CEDE3E597F24}"/>
                </c:ext>
              </c:extLst>
            </c:dLbl>
            <c:dLbl>
              <c:idx val="3"/>
              <c:layout>
                <c:manualLayout>
                  <c:x val="-0.20921936450309292"/>
                  <c:y val="6.685411061274927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870398044712653"/>
                      <c:h val="9.79164173594336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B5C-4EE7-B714-CEDE3E597F24}"/>
                </c:ext>
              </c:extLst>
            </c:dLbl>
            <c:dLbl>
              <c:idx val="4"/>
              <c:layout>
                <c:manualLayout>
                  <c:x val="-0.22412349310829657"/>
                  <c:y val="-5.12534729009325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5495195913746042"/>
                      <c:h val="8.45459461678860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B5C-4EE7-B714-CEDE3E597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'Q1 CPI Basket Contri Analysis'!$I$5:$I$9</c:f>
              <c:strCache>
                <c:ptCount val="5"/>
                <c:pt idx="0">
                  <c:v>Basic Food Items</c:v>
                </c:pt>
                <c:pt idx="1">
                  <c:v>Other Food and Intoxicants</c:v>
                </c:pt>
                <c:pt idx="2">
                  <c:v>Clothing and footwear</c:v>
                </c:pt>
                <c:pt idx="3">
                  <c:v>Housing and Utilities</c:v>
                </c:pt>
                <c:pt idx="4">
                  <c:v>Services and Miscellaneous</c:v>
                </c:pt>
              </c:strCache>
            </c:strRef>
          </c:cat>
          <c:val>
            <c:numRef>
              <c:f>'Q1 CPI Basket Contri Analysis'!$M$5:$M$9</c:f>
              <c:numCache>
                <c:formatCode>0</c:formatCode>
                <c:ptCount val="5"/>
                <c:pt idx="0">
                  <c:v>1637.5</c:v>
                </c:pt>
                <c:pt idx="1">
                  <c:v>870.4</c:v>
                </c:pt>
                <c:pt idx="2">
                  <c:v>553.20000000000005</c:v>
                </c:pt>
                <c:pt idx="3">
                  <c:v>533.59999999999991</c:v>
                </c:pt>
                <c:pt idx="4">
                  <c:v>1059.7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C-4EE7-B714-CEDE3E597F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'Q2 Y-O-Y CPI Trend'!$D$14</c:f>
              <c:strCache>
                <c:ptCount val="1"/>
                <c:pt idx="0">
                  <c:v>CPI Inflation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'Q2 Y-O-Y CPI Trend'!$C$15:$C$22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'Q2 Y-O-Y CPI Trend'!$D$15:$D$22</c:f>
              <c:numCache>
                <c:formatCode>0.00%</c:formatCode>
                <c:ptCount val="8"/>
                <c:pt idx="0">
                  <c:v>0</c:v>
                </c:pt>
                <c:pt idx="1">
                  <c:v>5.295471987720627E-2</c:v>
                </c:pt>
                <c:pt idx="2">
                  <c:v>2.3374726077428697E-2</c:v>
                </c:pt>
                <c:pt idx="3">
                  <c:v>7.7363896848137617E-2</c:v>
                </c:pt>
                <c:pt idx="4">
                  <c:v>5.7922769640479481E-2</c:v>
                </c:pt>
                <c:pt idx="5">
                  <c:v>5.657978385251098E-2</c:v>
                </c:pt>
                <c:pt idx="6">
                  <c:v>6.0350030175015092E-2</c:v>
                </c:pt>
                <c:pt idx="7">
                  <c:v>1.4730878186968806E-2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1-4601-A536-EEE5D71A3C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3649216"/>
        <c:axId val="1063654496"/>
      </c:lineChart>
      <c:catAx>
        <c:axId val="106364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654496"/>
        <c:crosses val="autoZero"/>
        <c:auto val="1"/>
        <c:lblAlgn val="ctr"/>
        <c:lblOffset val="100"/>
        <c:noMultiLvlLbl val="0"/>
      </c:catAx>
      <c:valAx>
        <c:axId val="10636544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64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Inflation rate of all food items over 12 months Rural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80182785166915"/>
          <c:y val="0.11242603550295856"/>
          <c:w val="0.83768204314738848"/>
          <c:h val="0.578068268267997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 MOM Food Inflation Analysis'!$AC$7</c:f>
              <c:strCache>
                <c:ptCount val="1"/>
                <c:pt idx="0">
                  <c:v>12 Month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MOM Food Inflation Analysis'!$B$8:$B$21</c:f>
              <c:strCache>
                <c:ptCount val="14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Spices</c:v>
                </c:pt>
                <c:pt idx="9">
                  <c:v>Sugar and Confectionery</c:v>
                </c:pt>
                <c:pt idx="10">
                  <c:v>Non-alcoholic beverages</c:v>
                </c:pt>
                <c:pt idx="11">
                  <c:v>Prepared meals, snacks, sweets, etc.</c:v>
                </c:pt>
                <c:pt idx="12">
                  <c:v>Food and beverages</c:v>
                </c:pt>
                <c:pt idx="13">
                  <c:v>Pan, tobacco, and intoxicants</c:v>
                </c:pt>
              </c:strCache>
            </c:strRef>
          </c:cat>
          <c:val>
            <c:numRef>
              <c:f>'Q3 MOM Food Inflation Analysis'!$AC$8:$AC$21</c:f>
              <c:numCache>
                <c:formatCode>0.00%</c:formatCode>
                <c:ptCount val="14"/>
                <c:pt idx="0">
                  <c:v>0.13276651406147796</c:v>
                </c:pt>
                <c:pt idx="1">
                  <c:v>-1.4904517931998085E-2</c:v>
                </c:pt>
                <c:pt idx="2">
                  <c:v>5.9479553903345687E-2</c:v>
                </c:pt>
                <c:pt idx="3">
                  <c:v>9.1130012150668294E-2</c:v>
                </c:pt>
                <c:pt idx="4">
                  <c:v>-0.17436874702239158</c:v>
                </c:pt>
                <c:pt idx="5">
                  <c:v>5.9523809523809521E-3</c:v>
                </c:pt>
                <c:pt idx="6">
                  <c:v>-7.2942643391521303E-2</c:v>
                </c:pt>
                <c:pt idx="7">
                  <c:v>6.0000000000000032E-2</c:v>
                </c:pt>
                <c:pt idx="8">
                  <c:v>0.18435155412647378</c:v>
                </c:pt>
                <c:pt idx="9">
                  <c:v>2.5231286795626577E-2</c:v>
                </c:pt>
                <c:pt idx="10">
                  <c:v>3.1755196304849888E-2</c:v>
                </c:pt>
                <c:pt idx="11">
                  <c:v>5.93126385809312E-2</c:v>
                </c:pt>
                <c:pt idx="12">
                  <c:v>3.5128805620608897E-2</c:v>
                </c:pt>
                <c:pt idx="13">
                  <c:v>3.6288232244686365E-2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A-423A-8970-83CEA01616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50070560"/>
        <c:axId val="750068640"/>
      </c:barChart>
      <c:catAx>
        <c:axId val="750070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0068640"/>
        <c:crosses val="autoZero"/>
        <c:auto val="1"/>
        <c:lblAlgn val="ctr"/>
        <c:lblOffset val="100"/>
        <c:noMultiLvlLbl val="0"/>
      </c:catAx>
      <c:valAx>
        <c:axId val="75006864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50070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Inflation rate of all food items over 12 months 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80182785166915"/>
          <c:y val="0.11242603550295856"/>
          <c:w val="0.83768204314738848"/>
          <c:h val="0.578068268267997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 MOM Food Inflation Analysis'!$AC$33</c:f>
              <c:strCache>
                <c:ptCount val="1"/>
                <c:pt idx="0">
                  <c:v>12 Month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MOM Food Inflation Analysis'!$B$34:$B$47</c:f>
              <c:strCache>
                <c:ptCount val="14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Spices</c:v>
                </c:pt>
                <c:pt idx="9">
                  <c:v>Sugar and Confectionery</c:v>
                </c:pt>
                <c:pt idx="10">
                  <c:v>Non-alcoholic beverages</c:v>
                </c:pt>
                <c:pt idx="11">
                  <c:v>Prepared meals, snacks, sweets, etc.</c:v>
                </c:pt>
                <c:pt idx="12">
                  <c:v>Food and beverages</c:v>
                </c:pt>
                <c:pt idx="13">
                  <c:v>Pan, tobacco, and intoxicants</c:v>
                </c:pt>
              </c:strCache>
            </c:strRef>
          </c:cat>
          <c:val>
            <c:numRef>
              <c:f>'Q3 MOM Food Inflation Analysis'!$AC$34:$AC$47</c:f>
              <c:numCache>
                <c:formatCode>0.00%</c:formatCode>
                <c:ptCount val="14"/>
                <c:pt idx="0">
                  <c:v>0.11486917677089982</c:v>
                </c:pt>
                <c:pt idx="1">
                  <c:v>-8.1374321880650236E-3</c:v>
                </c:pt>
                <c:pt idx="2">
                  <c:v>7.6782449725776927E-2</c:v>
                </c:pt>
                <c:pt idx="3">
                  <c:v>8.4643288996372426E-2</c:v>
                </c:pt>
                <c:pt idx="4">
                  <c:v>-0.13245382585751975</c:v>
                </c:pt>
                <c:pt idx="5">
                  <c:v>7.4498567335244204E-3</c:v>
                </c:pt>
                <c:pt idx="6">
                  <c:v>-8.956692913385822E-2</c:v>
                </c:pt>
                <c:pt idx="7">
                  <c:v>7.800121876904334E-2</c:v>
                </c:pt>
                <c:pt idx="8">
                  <c:v>0.1681367144432194</c:v>
                </c:pt>
                <c:pt idx="9">
                  <c:v>2.475247524752475E-2</c:v>
                </c:pt>
                <c:pt idx="10">
                  <c:v>4.6687697160883314E-2</c:v>
                </c:pt>
                <c:pt idx="11">
                  <c:v>6.922660897782576E-2</c:v>
                </c:pt>
                <c:pt idx="12">
                  <c:v>3.1549295774647858E-2</c:v>
                </c:pt>
                <c:pt idx="13">
                  <c:v>3.3924050632911332E-2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B-47F0-BF96-0EC89DD6E3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50070560"/>
        <c:axId val="750068640"/>
      </c:barChart>
      <c:catAx>
        <c:axId val="750070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0068640"/>
        <c:crosses val="autoZero"/>
        <c:auto val="1"/>
        <c:lblAlgn val="ctr"/>
        <c:lblOffset val="100"/>
        <c:noMultiLvlLbl val="0"/>
      </c:catAx>
      <c:valAx>
        <c:axId val="75006864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50070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Inflation rate of all food items over 12 months Rural+Urban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80182785166915"/>
          <c:y val="0.11242603550295856"/>
          <c:w val="0.83768204314738848"/>
          <c:h val="0.578068268267997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 MOM Food Inflation Analysis'!$AC$59</c:f>
              <c:strCache>
                <c:ptCount val="1"/>
                <c:pt idx="0">
                  <c:v>12 Month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MOM Food Inflation Analysis'!$B$60:$B$73</c:f>
              <c:strCache>
                <c:ptCount val="14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Spices</c:v>
                </c:pt>
                <c:pt idx="9">
                  <c:v>Sugar and Confectionery</c:v>
                </c:pt>
                <c:pt idx="10">
                  <c:v>Non-alcoholic beverages</c:v>
                </c:pt>
                <c:pt idx="11">
                  <c:v>Prepared meals, snacks, sweets, etc.</c:v>
                </c:pt>
                <c:pt idx="12">
                  <c:v>Food and beverages</c:v>
                </c:pt>
                <c:pt idx="13">
                  <c:v>Pan, tobacco, and intoxicants</c:v>
                </c:pt>
              </c:strCache>
            </c:strRef>
          </c:cat>
          <c:val>
            <c:numRef>
              <c:f>'Q3 MOM Food Inflation Analysis'!$AC$60:$AC$73</c:f>
              <c:numCache>
                <c:formatCode>0.00%</c:formatCode>
                <c:ptCount val="14"/>
                <c:pt idx="0">
                  <c:v>0.12719013627514597</c:v>
                </c:pt>
                <c:pt idx="1">
                  <c:v>-1.2442396313364003E-2</c:v>
                </c:pt>
                <c:pt idx="2">
                  <c:v>6.6502463054187083E-2</c:v>
                </c:pt>
                <c:pt idx="3">
                  <c:v>8.853850818677983E-2</c:v>
                </c:pt>
                <c:pt idx="4">
                  <c:v>-0.16007905138339923</c:v>
                </c:pt>
                <c:pt idx="5">
                  <c:v>7.0175438596490562E-3</c:v>
                </c:pt>
                <c:pt idx="6">
                  <c:v>-7.9473985134362518E-2</c:v>
                </c:pt>
                <c:pt idx="7">
                  <c:v>6.6180935033394089E-2</c:v>
                </c:pt>
                <c:pt idx="8">
                  <c:v>0.1790156841535965</c:v>
                </c:pt>
                <c:pt idx="9">
                  <c:v>2.5062656641604009E-2</c:v>
                </c:pt>
                <c:pt idx="10">
                  <c:v>3.7701974865350159E-2</c:v>
                </c:pt>
                <c:pt idx="11">
                  <c:v>6.410958904109583E-2</c:v>
                </c:pt>
                <c:pt idx="12">
                  <c:v>3.3467974610501917E-2</c:v>
                </c:pt>
                <c:pt idx="13">
                  <c:v>3.5548686244204049E-2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7-4647-A65C-27A94655EB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50070560"/>
        <c:axId val="750068640"/>
      </c:barChart>
      <c:catAx>
        <c:axId val="750070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0068640"/>
        <c:crosses val="autoZero"/>
        <c:auto val="1"/>
        <c:lblAlgn val="ctr"/>
        <c:lblOffset val="100"/>
        <c:noMultiLvlLbl val="0"/>
      </c:catAx>
      <c:valAx>
        <c:axId val="75006864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50070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Rural Covid Impact'!$AH$5</c:f>
              <c:strCache>
                <c:ptCount val="1"/>
                <c:pt idx="0">
                  <c:v>Food Products Combined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190578446522462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2E8-400D-B7DD-58403BC9C8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Rural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Covid Impact'!$AH$6:$AH$12</c:f>
              <c:numCache>
                <c:formatCode>0.00%</c:formatCode>
                <c:ptCount val="7"/>
                <c:pt idx="0">
                  <c:v>-3.3000831255195193E-2</c:v>
                </c:pt>
                <c:pt idx="1">
                  <c:v>-1.7387104564114877E-2</c:v>
                </c:pt>
                <c:pt idx="2">
                  <c:v>0.10296284170895377</c:v>
                </c:pt>
                <c:pt idx="4">
                  <c:v>7.4454525005623606E-2</c:v>
                </c:pt>
                <c:pt idx="5">
                  <c:v>6.219895287958125E-2</c:v>
                </c:pt>
                <c:pt idx="6">
                  <c:v>-3.7844481821710289E-2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8-400D-B7DD-58403BC9C858}"/>
            </c:ext>
          </c:extLst>
        </c:ser>
        <c:ser>
          <c:idx val="1"/>
          <c:order val="1"/>
          <c:tx>
            <c:strRef>
              <c:f>'Q4 Rural Covid Impact'!$AI$5</c:f>
              <c:strCache>
                <c:ptCount val="1"/>
                <c:pt idx="0">
                  <c:v>Fuel and 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0916633597349484E-16"/>
                  <c:y val="-2.52252681709892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E8-400D-B7DD-58403BC9C8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Rural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Covid Impact'!$AI$6:$AI$12</c:f>
              <c:numCache>
                <c:formatCode>0.00%</c:formatCode>
                <c:ptCount val="7"/>
                <c:pt idx="0">
                  <c:v>-6.1102831594635004E-2</c:v>
                </c:pt>
                <c:pt idx="1">
                  <c:v>1.8934081346423683E-2</c:v>
                </c:pt>
                <c:pt idx="2">
                  <c:v>4.0300546448087469E-2</c:v>
                </c:pt>
                <c:pt idx="4">
                  <c:v>6.5189048239895691E-3</c:v>
                </c:pt>
                <c:pt idx="5">
                  <c:v>7.3076923076923109E-2</c:v>
                </c:pt>
                <c:pt idx="6">
                  <c:v>-7.5192421551213667E-2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8-400D-B7DD-58403BC9C858}"/>
            </c:ext>
          </c:extLst>
        </c:ser>
        <c:ser>
          <c:idx val="2"/>
          <c:order val="2"/>
          <c:tx>
            <c:strRef>
              <c:f>'Q4 Rural Covid Impact'!$AJ$5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4583167986747418E-17"/>
                  <c:y val="-4.68469266032658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E8-400D-B7DD-58403BC9C858}"/>
                </c:ext>
              </c:extLst>
            </c:dLbl>
            <c:dLbl>
              <c:idx val="5"/>
              <c:layout>
                <c:manualLayout>
                  <c:x val="2.9764461163061555E-3"/>
                  <c:y val="2.550627271532760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E8-400D-B7DD-58403BC9C8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Rural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Covid Impact'!$AJ$6:$AJ$12</c:f>
              <c:numCache>
                <c:formatCode>0.00%</c:formatCode>
                <c:ptCount val="7"/>
                <c:pt idx="0">
                  <c:v>-4.2879019908116343E-2</c:v>
                </c:pt>
                <c:pt idx="1">
                  <c:v>9.6561814191660697E-2</c:v>
                </c:pt>
                <c:pt idx="2">
                  <c:v>3.8563829787233925E-2</c:v>
                </c:pt>
                <c:pt idx="4">
                  <c:v>4.8500319081046732E-2</c:v>
                </c:pt>
                <c:pt idx="5">
                  <c:v>6.5006075334143487E-2</c:v>
                </c:pt>
                <c:pt idx="6">
                  <c:v>-6.0227272727272692E-2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8-400D-B7DD-58403BC9C8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Rural Covid Impact'!$AK$5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9.677943303146280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07174846652259E-2"/>
                      <c:h val="5.24960384661777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39D-4062-B942-CAD56F4671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Rural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Covid Impact'!$AK$6:$AK$12</c:f>
              <c:numCache>
                <c:formatCode>0.00%</c:formatCode>
                <c:ptCount val="7"/>
                <c:pt idx="0">
                  <c:v>-2.9215358931552589E-2</c:v>
                </c:pt>
                <c:pt idx="1">
                  <c:v>3.6918138041733502E-2</c:v>
                </c:pt>
                <c:pt idx="2">
                  <c:v>4.6959199384141601E-2</c:v>
                </c:pt>
                <c:pt idx="4">
                  <c:v>0.10603829160530173</c:v>
                </c:pt>
                <c:pt idx="5">
                  <c:v>6.5432914738929121E-2</c:v>
                </c:pt>
                <c:pt idx="6">
                  <c:v>-4.3209876543209874E-2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8-400D-B7DD-58403BC9C858}"/>
            </c:ext>
          </c:extLst>
        </c:ser>
        <c:ser>
          <c:idx val="1"/>
          <c:order val="1"/>
          <c:tx>
            <c:strRef>
              <c:f>'Q4 Rural Covid Impact'!$AL$5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Rural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Covid Impact'!$AL$6:$AL$12</c:f>
              <c:numCache>
                <c:formatCode>0.00%</c:formatCode>
                <c:ptCount val="7"/>
                <c:pt idx="0">
                  <c:v>-4.659763313609476E-2</c:v>
                </c:pt>
                <c:pt idx="1">
                  <c:v>8.969866853538902E-2</c:v>
                </c:pt>
                <c:pt idx="2">
                  <c:v>4.1157556270096499E-2</c:v>
                </c:pt>
                <c:pt idx="4">
                  <c:v>1.4888337468982667E-2</c:v>
                </c:pt>
                <c:pt idx="5">
                  <c:v>3.968253968253968E-2</c:v>
                </c:pt>
                <c:pt idx="6">
                  <c:v>-4.6307151230949625E-2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D-4062-B942-CAD56F4671EC}"/>
            </c:ext>
          </c:extLst>
        </c:ser>
        <c:ser>
          <c:idx val="2"/>
          <c:order val="2"/>
          <c:tx>
            <c:strRef>
              <c:f>'Q4 Rural Covid Impact'!$AM$5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Rural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Covid Impact'!$AM$6:$AM$12</c:f>
              <c:numCache>
                <c:formatCode>0.00%</c:formatCode>
                <c:ptCount val="7"/>
                <c:pt idx="0">
                  <c:v>-4.3251304996271528E-2</c:v>
                </c:pt>
                <c:pt idx="1">
                  <c:v>7.2909220872051386E-2</c:v>
                </c:pt>
                <c:pt idx="2">
                  <c:v>1.2000000000000077E-2</c:v>
                </c:pt>
                <c:pt idx="4">
                  <c:v>2.1782178217821857E-2</c:v>
                </c:pt>
                <c:pt idx="5">
                  <c:v>7.0413436692506312E-2</c:v>
                </c:pt>
                <c:pt idx="6">
                  <c:v>-7.2672672672672634E-2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D-4062-B942-CAD56F4671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Rural Covid Impact'!$AN$5</c:f>
              <c:strCache>
                <c:ptCount val="1"/>
                <c:pt idx="0">
                  <c:v>General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Rural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Covid Impact'!$AN$6:$AN$12</c:f>
              <c:numCache>
                <c:formatCode>0.00%</c:formatCode>
                <c:ptCount val="7"/>
                <c:pt idx="0">
                  <c:v>-4.2921686746987861E-2</c:v>
                </c:pt>
                <c:pt idx="1">
                  <c:v>1.6582552271088763E-2</c:v>
                </c:pt>
                <c:pt idx="2">
                  <c:v>6.5155807365439217E-2</c:v>
                </c:pt>
                <c:pt idx="4">
                  <c:v>4.6061415220293569E-2</c:v>
                </c:pt>
                <c:pt idx="5">
                  <c:v>6.381620931716657E-2</c:v>
                </c:pt>
                <c:pt idx="6">
                  <c:v>-5.5127445168939013E-2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8-400D-B7DD-58403BC9C8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Urban Covid Impact'!$AH$5</c:f>
              <c:strCache>
                <c:ptCount val="1"/>
                <c:pt idx="0">
                  <c:v>Food Products Combined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190578446522462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CA-4559-B9AA-A999A1E65D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Urban Covid Impact'!$AH$6:$AH$12</c:f>
              <c:numCache>
                <c:formatCode>0.00%</c:formatCode>
                <c:ptCount val="7"/>
                <c:pt idx="0">
                  <c:v>-1.4408493427704868E-2</c:v>
                </c:pt>
                <c:pt idx="1">
                  <c:v>2.6410664878007879E-2</c:v>
                </c:pt>
                <c:pt idx="2">
                  <c:v>0.10016181229773459</c:v>
                </c:pt>
                <c:pt idx="4">
                  <c:v>9.5830230826507684E-2</c:v>
                </c:pt>
                <c:pt idx="5">
                  <c:v>5.9368191721133091E-2</c:v>
                </c:pt>
                <c:pt idx="6">
                  <c:v>-4.6746280094513919E-2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A-4559-B9AA-A999A1E65D5E}"/>
            </c:ext>
          </c:extLst>
        </c:ser>
        <c:ser>
          <c:idx val="1"/>
          <c:order val="1"/>
          <c:tx>
            <c:strRef>
              <c:f>'Q4 Urban Covid Impact'!$AI$5</c:f>
              <c:strCache>
                <c:ptCount val="1"/>
                <c:pt idx="0">
                  <c:v>Fuel and 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0916633597349484E-16"/>
                  <c:y val="-2.52252681709892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CA-4559-B9AA-A999A1E65D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Urban Covid Impact'!$AI$6:$AI$12</c:f>
              <c:numCache>
                <c:formatCode>0.00%</c:formatCode>
                <c:ptCount val="7"/>
                <c:pt idx="0">
                  <c:v>-5.3807947019867554E-2</c:v>
                </c:pt>
                <c:pt idx="1">
                  <c:v>5.5379746835442136E-3</c:v>
                </c:pt>
                <c:pt idx="2">
                  <c:v>7.8416149068322935E-2</c:v>
                </c:pt>
                <c:pt idx="4">
                  <c:v>5.4455445544554372E-2</c:v>
                </c:pt>
                <c:pt idx="5">
                  <c:v>5.2971576227390106E-2</c:v>
                </c:pt>
                <c:pt idx="6">
                  <c:v>-0.1112462006079028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CA-4559-B9AA-A999A1E65D5E}"/>
            </c:ext>
          </c:extLst>
        </c:ser>
        <c:ser>
          <c:idx val="2"/>
          <c:order val="2"/>
          <c:tx>
            <c:strRef>
              <c:f>'Q4 Urban Covid Impact'!$AJ$5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4583167986747418E-17"/>
                  <c:y val="-4.68469266032658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CA-4559-B9AA-A999A1E65D5E}"/>
                </c:ext>
              </c:extLst>
            </c:dLbl>
            <c:dLbl>
              <c:idx val="5"/>
              <c:layout>
                <c:manualLayout>
                  <c:x val="2.9764461163061555E-3"/>
                  <c:y val="2.550627271532760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CA-4559-B9AA-A999A1E65D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Urban Covid Impact'!$AJ$6:$AJ$12</c:f>
              <c:numCache>
                <c:formatCode>0.00%</c:formatCode>
                <c:ptCount val="7"/>
                <c:pt idx="0">
                  <c:v>-5.442729488220973E-2</c:v>
                </c:pt>
                <c:pt idx="1">
                  <c:v>6.1302681992337162E-2</c:v>
                </c:pt>
                <c:pt idx="2">
                  <c:v>3.7356321839080588E-2</c:v>
                </c:pt>
                <c:pt idx="4">
                  <c:v>7.7931034482758704E-2</c:v>
                </c:pt>
                <c:pt idx="5">
                  <c:v>6.5646908859145842E-2</c:v>
                </c:pt>
                <c:pt idx="6">
                  <c:v>-7.4910820451843191E-2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CA-4559-B9AA-A999A1E65D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Urban Covid Impact'!$AK$5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9.677943303146280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07174846652259E-2"/>
                      <c:h val="5.24960384661777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6BC-4D95-9BF5-82C8A4DE8D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Urban Covid Impact'!$AK$6:$AK$12</c:f>
              <c:numCache>
                <c:formatCode>0.00%</c:formatCode>
                <c:ptCount val="7"/>
                <c:pt idx="0">
                  <c:v>-1.5570934256055463E-2</c:v>
                </c:pt>
                <c:pt idx="1">
                  <c:v>1.1884550084889691E-2</c:v>
                </c:pt>
                <c:pt idx="2">
                  <c:v>4.4203502919099226E-2</c:v>
                </c:pt>
                <c:pt idx="4">
                  <c:v>0.12760834670947035</c:v>
                </c:pt>
                <c:pt idx="5">
                  <c:v>8.0451658433309856E-2</c:v>
                </c:pt>
                <c:pt idx="6">
                  <c:v>-3.6316472114137632E-2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C-4D95-9BF5-82C8A4DE8D98}"/>
            </c:ext>
          </c:extLst>
        </c:ser>
        <c:ser>
          <c:idx val="1"/>
          <c:order val="1"/>
          <c:tx>
            <c:strRef>
              <c:f>'Q4 Urban Covid Impact'!$AL$5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Urban Covid Impact'!$AL$6:$AL$12</c:f>
              <c:numCache>
                <c:formatCode>0.00%</c:formatCode>
                <c:ptCount val="7"/>
                <c:pt idx="0">
                  <c:v>-3.3132530120481757E-2</c:v>
                </c:pt>
                <c:pt idx="1">
                  <c:v>6.386066763425241E-2</c:v>
                </c:pt>
                <c:pt idx="2">
                  <c:v>3.7491479209270623E-2</c:v>
                </c:pt>
                <c:pt idx="4">
                  <c:v>2.6885245901639307E-2</c:v>
                </c:pt>
                <c:pt idx="5">
                  <c:v>2.7918781725888363E-2</c:v>
                </c:pt>
                <c:pt idx="6">
                  <c:v>-6.0233558696988397E-2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C-4D95-9BF5-82C8A4DE8D98}"/>
            </c:ext>
          </c:extLst>
        </c:ser>
        <c:ser>
          <c:idx val="2"/>
          <c:order val="2"/>
          <c:tx>
            <c:strRef>
              <c:f>'Q4 Urban Covid Impact'!$AM$5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Urban Covid Impact'!$AM$6:$AM$12</c:f>
              <c:numCache>
                <c:formatCode>0.00%</c:formatCode>
                <c:ptCount val="7"/>
                <c:pt idx="0">
                  <c:v>-3.4235668789809007E-2</c:v>
                </c:pt>
                <c:pt idx="1">
                  <c:v>4.4342507645259807E-2</c:v>
                </c:pt>
                <c:pt idx="2">
                  <c:v>2.6315789473684167E-2</c:v>
                </c:pt>
                <c:pt idx="4">
                  <c:v>4.0482954545454461E-2</c:v>
                </c:pt>
                <c:pt idx="5">
                  <c:v>6.9293478260869693E-2</c:v>
                </c:pt>
                <c:pt idx="6">
                  <c:v>-6.6834804539722542E-2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C-4D95-9BF5-82C8A4DE8D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Urban Covid Impact'!$AN$5</c:f>
              <c:strCache>
                <c:ptCount val="1"/>
                <c:pt idx="0">
                  <c:v>General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Urban Covid Impact'!$AN$6:$AN$12</c:f>
              <c:numCache>
                <c:formatCode>0.00%</c:formatCode>
                <c:ptCount val="7"/>
                <c:pt idx="0">
                  <c:v>-4.1181041181041274E-2</c:v>
                </c:pt>
                <c:pt idx="1">
                  <c:v>3.4328358208955183E-2</c:v>
                </c:pt>
                <c:pt idx="2">
                  <c:v>5.8781362007168381E-2</c:v>
                </c:pt>
                <c:pt idx="4">
                  <c:v>6.2457569585879079E-2</c:v>
                </c:pt>
                <c:pt idx="5">
                  <c:v>5.4811982154238333E-2</c:v>
                </c:pt>
                <c:pt idx="6">
                  <c:v>-5.8858858858858928E-2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8-4050-A3EB-ED92E0792C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Rural + Urban Covid Impact'!$AH$5</c:f>
              <c:strCache>
                <c:ptCount val="1"/>
                <c:pt idx="0">
                  <c:v>Food Products Combined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190578446522462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75-42F4-B0F4-79F119D19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Rural +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+ Urban Covid Impact'!$AH$6:$AH$12</c:f>
              <c:numCache>
                <c:formatCode>0.00%</c:formatCode>
                <c:ptCount val="7"/>
                <c:pt idx="0">
                  <c:v>-2.5823165635968461E-2</c:v>
                </c:pt>
                <c:pt idx="1">
                  <c:v>-8.9928057553967985E-4</c:v>
                </c:pt>
                <c:pt idx="2">
                  <c:v>0.10188279403374358</c:v>
                </c:pt>
                <c:pt idx="4">
                  <c:v>8.1974569932685218E-2</c:v>
                </c:pt>
                <c:pt idx="5">
                  <c:v>6.0882800608828169E-2</c:v>
                </c:pt>
                <c:pt idx="6">
                  <c:v>-4.148415356866763E-2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5-42F4-B0F4-79F119D194A0}"/>
            </c:ext>
          </c:extLst>
        </c:ser>
        <c:ser>
          <c:idx val="1"/>
          <c:order val="1"/>
          <c:tx>
            <c:strRef>
              <c:f>'Q4 Rural + Urban Covid Impact'!$AI$5</c:f>
              <c:strCache>
                <c:ptCount val="1"/>
                <c:pt idx="0">
                  <c:v>Fuel and 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0916633597349484E-16"/>
                  <c:y val="-2.52252681709892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75-42F4-B0F4-79F119D19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Rural +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+ Urban Covid Impact'!$AI$6:$AI$12</c:f>
              <c:numCache>
                <c:formatCode>0.00%</c:formatCode>
                <c:ptCount val="7"/>
                <c:pt idx="0">
                  <c:v>-5.8869093725793915E-2</c:v>
                </c:pt>
                <c:pt idx="1">
                  <c:v>1.3919413919413962E-2</c:v>
                </c:pt>
                <c:pt idx="2">
                  <c:v>5.368647100930566E-2</c:v>
                </c:pt>
                <c:pt idx="4">
                  <c:v>2.3505708529214239E-2</c:v>
                </c:pt>
                <c:pt idx="5">
                  <c:v>6.559485530546616E-2</c:v>
                </c:pt>
                <c:pt idx="6">
                  <c:v>-8.9114832535885202E-2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75-42F4-B0F4-79F119D194A0}"/>
            </c:ext>
          </c:extLst>
        </c:ser>
        <c:ser>
          <c:idx val="2"/>
          <c:order val="2"/>
          <c:tx>
            <c:strRef>
              <c:f>'Q4 Rural + Urban Covid Impact'!$AJ$5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4583167986747418E-17"/>
                  <c:y val="-4.68469266032658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75-42F4-B0F4-79F119D194A0}"/>
                </c:ext>
              </c:extLst>
            </c:dLbl>
            <c:dLbl>
              <c:idx val="5"/>
              <c:layout>
                <c:manualLayout>
                  <c:x val="2.9764461163061555E-3"/>
                  <c:y val="2.550627271532760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75-42F4-B0F4-79F119D19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Rural +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+ Urban Covid Impact'!$AJ$6:$AJ$12</c:f>
              <c:numCache>
                <c:formatCode>0.00%</c:formatCode>
                <c:ptCount val="7"/>
                <c:pt idx="0">
                  <c:v>-4.6948356807511853E-2</c:v>
                </c:pt>
                <c:pt idx="1">
                  <c:v>8.4139985107967108E-2</c:v>
                </c:pt>
                <c:pt idx="2">
                  <c:v>3.761969904240766E-2</c:v>
                </c:pt>
                <c:pt idx="4">
                  <c:v>5.9093893630991462E-2</c:v>
                </c:pt>
                <c:pt idx="5">
                  <c:v>6.4935064935064943E-2</c:v>
                </c:pt>
                <c:pt idx="6">
                  <c:v>-6.589595375722547E-2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75-42F4-B0F4-79F119D19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Rural + Urban Covid Impact'!$AK$5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9.677943303146280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07174846652259E-2"/>
                      <c:h val="5.24960384661777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DA3-4F5B-BE90-6F4BA758CB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Rural +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+ Urban Covid Impact'!$AK$6:$AK$12</c:f>
              <c:numCache>
                <c:formatCode>0.00%</c:formatCode>
                <c:ptCount val="7"/>
                <c:pt idx="0">
                  <c:v>-2.2108843537415039E-2</c:v>
                </c:pt>
                <c:pt idx="1">
                  <c:v>2.3966942148760377E-2</c:v>
                </c:pt>
                <c:pt idx="2">
                  <c:v>4.5746388443017795E-2</c:v>
                </c:pt>
                <c:pt idx="4">
                  <c:v>0.11701308698999222</c:v>
                </c:pt>
                <c:pt idx="5">
                  <c:v>7.3187414500684111E-2</c:v>
                </c:pt>
                <c:pt idx="6">
                  <c:v>-3.9898670044331744E-2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3-4F5B-BE90-6F4BA758CBD4}"/>
            </c:ext>
          </c:extLst>
        </c:ser>
        <c:ser>
          <c:idx val="1"/>
          <c:order val="1"/>
          <c:tx>
            <c:strRef>
              <c:f>'Q4 Rural + Urban Covid Impact'!$AL$5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Rural +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+ Urban Covid Impact'!$AL$6:$AL$12</c:f>
              <c:numCache>
                <c:formatCode>0.00%</c:formatCode>
                <c:ptCount val="7"/>
                <c:pt idx="0">
                  <c:v>-3.8863976083706939E-2</c:v>
                </c:pt>
                <c:pt idx="1">
                  <c:v>7.5107296137339047E-2</c:v>
                </c:pt>
                <c:pt idx="2">
                  <c:v>3.9254823685961254E-2</c:v>
                </c:pt>
                <c:pt idx="4">
                  <c:v>2.1780909673286393E-2</c:v>
                </c:pt>
                <c:pt idx="5">
                  <c:v>3.2459425717852791E-2</c:v>
                </c:pt>
                <c:pt idx="6">
                  <c:v>-5.4216867469879519E-2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A3-4F5B-BE90-6F4BA758CBD4}"/>
            </c:ext>
          </c:extLst>
        </c:ser>
        <c:ser>
          <c:idx val="2"/>
          <c:order val="2"/>
          <c:tx>
            <c:strRef>
              <c:f>'Q4 Rural + Urban Covid Impact'!$AM$5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Rural +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+ Urban Covid Impact'!$AM$6:$AM$12</c:f>
              <c:numCache>
                <c:formatCode>0.00%</c:formatCode>
                <c:ptCount val="7"/>
                <c:pt idx="0">
                  <c:v>-3.9200614911606417E-2</c:v>
                </c:pt>
                <c:pt idx="1">
                  <c:v>5.9734513274336244E-2</c:v>
                </c:pt>
                <c:pt idx="2">
                  <c:v>1.8080667593880349E-2</c:v>
                </c:pt>
                <c:pt idx="4">
                  <c:v>3.0737704918032786E-2</c:v>
                </c:pt>
                <c:pt idx="5">
                  <c:v>7.0105820105820255E-2</c:v>
                </c:pt>
                <c:pt idx="6">
                  <c:v>-7.0024570024569882E-2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3-4F5B-BE90-6F4BA758CB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in Various Categories in Rural Sector </a:t>
            </a:r>
          </a:p>
        </c:rich>
      </c:tx>
      <c:layout>
        <c:manualLayout>
          <c:xMode val="edge"/>
          <c:yMode val="edge"/>
          <c:x val="0.31374767398585779"/>
          <c:y val="1.683029453015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4600540953965"/>
          <c:y val="0.13365788520885613"/>
          <c:w val="0.82565399459046029"/>
          <c:h val="0.5607684938954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 Rural + Urban Covid Impact'!$AN$5</c:f>
              <c:strCache>
                <c:ptCount val="1"/>
                <c:pt idx="0">
                  <c:v>General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Rural + Urban Covid Impact'!$AG$6:$AG$12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</c:strCache>
            </c:strRef>
          </c:cat>
          <c:val>
            <c:numRef>
              <c:f>'Q4 Rural + Urban Covid Impact'!$AN$6:$AN$12</c:f>
              <c:numCache>
                <c:formatCode>0.00%</c:formatCode>
                <c:ptCount val="7"/>
                <c:pt idx="0">
                  <c:v>-4.2016806722689072E-2</c:v>
                </c:pt>
                <c:pt idx="1">
                  <c:v>2.4908424908424952E-2</c:v>
                </c:pt>
                <c:pt idx="2">
                  <c:v>6.1965811965811884E-2</c:v>
                </c:pt>
                <c:pt idx="4">
                  <c:v>5.3835800807537013E-2</c:v>
                </c:pt>
                <c:pt idx="5">
                  <c:v>5.9311224489795804E-2</c:v>
                </c:pt>
                <c:pt idx="6">
                  <c:v>-5.6648777579010143E-2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4-4459-A4DB-6917595EF4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28239"/>
        <c:axId val="68932079"/>
      </c:barChart>
      <c:catAx>
        <c:axId val="68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079"/>
        <c:crosses val="autoZero"/>
        <c:auto val="1"/>
        <c:lblAlgn val="ctr"/>
        <c:lblOffset val="100"/>
        <c:noMultiLvlLbl val="0"/>
      </c:catAx>
      <c:valAx>
        <c:axId val="68932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92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Trend in Imported Crude Oil Prices: MoM Growth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794692086325099E-2"/>
          <c:y val="0.14631163708086786"/>
          <c:w val="0.95104406565594002"/>
          <c:h val="0.7910646228393049"/>
        </c:manualLayout>
      </c:layout>
      <c:lineChart>
        <c:grouping val="stacked"/>
        <c:varyColors val="0"/>
        <c:ser>
          <c:idx val="0"/>
          <c:order val="0"/>
          <c:tx>
            <c:strRef>
              <c:f>'Q5 Crude Oil Inflation'!$H$2</c:f>
              <c:strCache>
                <c:ptCount val="1"/>
                <c:pt idx="0">
                  <c:v>MoM Change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 Crude Oil Inflation'!$D$4:$D$26</c:f>
              <c:strCache>
                <c:ptCount val="23"/>
                <c:pt idx="0">
                  <c:v>May-2021</c:v>
                </c:pt>
                <c:pt idx="1">
                  <c:v>June-2021</c:v>
                </c:pt>
                <c:pt idx="2">
                  <c:v>July-2021</c:v>
                </c:pt>
                <c:pt idx="3">
                  <c:v>August-2021</c:v>
                </c:pt>
                <c:pt idx="4">
                  <c:v>September-2021</c:v>
                </c:pt>
                <c:pt idx="5">
                  <c:v>October-2021</c:v>
                </c:pt>
                <c:pt idx="6">
                  <c:v>November-2021</c:v>
                </c:pt>
                <c:pt idx="7">
                  <c:v>December-2021</c:v>
                </c:pt>
                <c:pt idx="8">
                  <c:v>January-2022</c:v>
                </c:pt>
                <c:pt idx="9">
                  <c:v>February-2022</c:v>
                </c:pt>
                <c:pt idx="10">
                  <c:v>March-2022</c:v>
                </c:pt>
                <c:pt idx="11">
                  <c:v>April-2022</c:v>
                </c:pt>
                <c:pt idx="12">
                  <c:v>May-2022</c:v>
                </c:pt>
                <c:pt idx="13">
                  <c:v>June-2022</c:v>
                </c:pt>
                <c:pt idx="14">
                  <c:v>July-2022</c:v>
                </c:pt>
                <c:pt idx="15">
                  <c:v>August-2022</c:v>
                </c:pt>
                <c:pt idx="16">
                  <c:v>September-2022</c:v>
                </c:pt>
                <c:pt idx="17">
                  <c:v>October-2022</c:v>
                </c:pt>
                <c:pt idx="18">
                  <c:v>November-2022</c:v>
                </c:pt>
                <c:pt idx="19">
                  <c:v>December-2022</c:v>
                </c:pt>
                <c:pt idx="20">
                  <c:v>January-2023</c:v>
                </c:pt>
                <c:pt idx="21">
                  <c:v>February-2023</c:v>
                </c:pt>
                <c:pt idx="22">
                  <c:v>March-2023</c:v>
                </c:pt>
              </c:strCache>
            </c:strRef>
          </c:cat>
          <c:val>
            <c:numRef>
              <c:f>'Q5 Crude Oil Inflation'!$H$4:$H$26</c:f>
              <c:numCache>
                <c:formatCode>0.00%</c:formatCode>
                <c:ptCount val="23"/>
                <c:pt idx="0">
                  <c:v>2.1594892360118929E-2</c:v>
                </c:pt>
                <c:pt idx="1">
                  <c:v>8.8604779489336871E-2</c:v>
                </c:pt>
                <c:pt idx="2">
                  <c:v>1.8821378680567373E-2</c:v>
                </c:pt>
                <c:pt idx="3">
                  <c:v>-1.6950112704460375E-2</c:v>
                </c:pt>
                <c:pt idx="4">
                  <c:v>1.6297823698013098E-2</c:v>
                </c:pt>
                <c:pt idx="5">
                  <c:v>6.3386768936414345E-2</c:v>
                </c:pt>
                <c:pt idx="6">
                  <c:v>2.3486969752359053E-2</c:v>
                </c:pt>
                <c:pt idx="7">
                  <c:v>-4.0235314048855511E-2</c:v>
                </c:pt>
                <c:pt idx="8">
                  <c:v>8.481095660186555E-2</c:v>
                </c:pt>
                <c:pt idx="9">
                  <c:v>9.8959412390041232E-2</c:v>
                </c:pt>
                <c:pt idx="10">
                  <c:v>0.18313929002639978</c:v>
                </c:pt>
                <c:pt idx="11">
                  <c:v>-5.1777982847279851E-3</c:v>
                </c:pt>
                <c:pt idx="12">
                  <c:v>1.2774012270926061E-2</c:v>
                </c:pt>
                <c:pt idx="13">
                  <c:v>3.1098448706091512E-2</c:v>
                </c:pt>
                <c:pt idx="14">
                  <c:v>-2.8717275647558427E-2</c:v>
                </c:pt>
                <c:pt idx="15">
                  <c:v>-5.763504108370656E-2</c:v>
                </c:pt>
                <c:pt idx="16">
                  <c:v>-5.1122472394447442E-2</c:v>
                </c:pt>
                <c:pt idx="17">
                  <c:v>-5.4272181894324908E-2</c:v>
                </c:pt>
                <c:pt idx="18">
                  <c:v>-3.3174513849205743E-2</c:v>
                </c:pt>
                <c:pt idx="19">
                  <c:v>-9.5187068262291646E-2</c:v>
                </c:pt>
                <c:pt idx="20">
                  <c:v>-3.8225085259807424E-2</c:v>
                </c:pt>
                <c:pt idx="21">
                  <c:v>-3.692990754243014E-2</c:v>
                </c:pt>
                <c:pt idx="22">
                  <c:v>-3.6620563332498503E-2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CE-4EF9-BEEC-CB2DE8A95D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8700351"/>
        <c:axId val="808698911"/>
      </c:lineChart>
      <c:catAx>
        <c:axId val="80870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98911"/>
        <c:crosses val="autoZero"/>
        <c:auto val="1"/>
        <c:lblAlgn val="ctr"/>
        <c:lblOffset val="100"/>
        <c:noMultiLvlLbl val="0"/>
      </c:catAx>
      <c:valAx>
        <c:axId val="80869891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0870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</a:t>
            </a:r>
            <a:r>
              <a:rPr lang="en-IN" baseline="0"/>
              <a:t> of Inflation in Crude oil Price with Various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 Rural Sector Correlation'!$H$4</c:f>
              <c:strCache>
                <c:ptCount val="1"/>
                <c:pt idx="0">
                  <c:v>Corelation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 Rural Sector Correlation'!$G$5:$G$30</c:f>
              <c:strCache>
                <c:ptCount val="26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sweets, etc.</c:v>
                </c:pt>
                <c:pt idx="12">
                  <c:v>Food and beverages</c:v>
                </c:pt>
                <c:pt idx="13">
                  <c:v>Pan, tobacco,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</c:strCache>
            </c:strRef>
          </c:cat>
          <c:val>
            <c:numRef>
              <c:f>'Q5 Rural Sector Correlation'!$H$5:$H$30</c:f>
              <c:numCache>
                <c:formatCode>0.000</c:formatCode>
                <c:ptCount val="26"/>
                <c:pt idx="0">
                  <c:v>-0.31620114883349604</c:v>
                </c:pt>
                <c:pt idx="1">
                  <c:v>0.56613334183188202</c:v>
                </c:pt>
                <c:pt idx="2">
                  <c:v>-0.11770530912744046</c:v>
                </c:pt>
                <c:pt idx="3">
                  <c:v>-0.30696987671797393</c:v>
                </c:pt>
                <c:pt idx="4">
                  <c:v>0.55275374121834242</c:v>
                </c:pt>
                <c:pt idx="5">
                  <c:v>8.6975796783078679E-2</c:v>
                </c:pt>
                <c:pt idx="6">
                  <c:v>0.28120034467479382</c:v>
                </c:pt>
                <c:pt idx="7">
                  <c:v>-9.1304409937847386E-2</c:v>
                </c:pt>
                <c:pt idx="8">
                  <c:v>2.6942370093001072E-2</c:v>
                </c:pt>
                <c:pt idx="9">
                  <c:v>-5.3116497634562158E-2</c:v>
                </c:pt>
                <c:pt idx="10">
                  <c:v>0.16677638409237849</c:v>
                </c:pt>
                <c:pt idx="11">
                  <c:v>0.12936073295918663</c:v>
                </c:pt>
                <c:pt idx="12">
                  <c:v>0.37974493107309204</c:v>
                </c:pt>
                <c:pt idx="13">
                  <c:v>-7.4248791442931778E-3</c:v>
                </c:pt>
                <c:pt idx="14">
                  <c:v>4.4904321241008037E-2</c:v>
                </c:pt>
                <c:pt idx="15">
                  <c:v>0.20613333539936343</c:v>
                </c:pt>
                <c:pt idx="16">
                  <c:v>8.229627885001492E-2</c:v>
                </c:pt>
                <c:pt idx="17">
                  <c:v>0</c:v>
                </c:pt>
                <c:pt idx="18">
                  <c:v>0.17925933145771009</c:v>
                </c:pt>
                <c:pt idx="19">
                  <c:v>-1.1492319529715456E-2</c:v>
                </c:pt>
                <c:pt idx="20">
                  <c:v>-7.3343316058356298E-2</c:v>
                </c:pt>
                <c:pt idx="21">
                  <c:v>8.9262968402088236E-2</c:v>
                </c:pt>
                <c:pt idx="22">
                  <c:v>0.19903338621062477</c:v>
                </c:pt>
                <c:pt idx="23">
                  <c:v>-0.1265754846682878</c:v>
                </c:pt>
                <c:pt idx="24">
                  <c:v>0.11060850128902593</c:v>
                </c:pt>
                <c:pt idx="25">
                  <c:v>2.5217236278321658E-2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7-4CD5-859B-A0E9E4DF20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29371920"/>
        <c:axId val="1629370960"/>
      </c:barChart>
      <c:catAx>
        <c:axId val="16293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70960"/>
        <c:crosses val="autoZero"/>
        <c:auto val="1"/>
        <c:lblAlgn val="ctr"/>
        <c:lblOffset val="100"/>
        <c:noMultiLvlLbl val="0"/>
      </c:catAx>
      <c:valAx>
        <c:axId val="16293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719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</a:t>
            </a:r>
            <a:r>
              <a:rPr lang="en-IN" baseline="0"/>
              <a:t> of Inflation in Crude oil Price with Various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 Urban Sector Correlation'!$H$4</c:f>
              <c:strCache>
                <c:ptCount val="1"/>
                <c:pt idx="0">
                  <c:v>Corelation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 Urban Sector Correlation'!$G$5:$G$30</c:f>
              <c:strCache>
                <c:ptCount val="26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sweets, etc.</c:v>
                </c:pt>
                <c:pt idx="12">
                  <c:v>Food and beverages</c:v>
                </c:pt>
                <c:pt idx="13">
                  <c:v>Pan, tobacco,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</c:strCache>
            </c:strRef>
          </c:cat>
          <c:val>
            <c:numRef>
              <c:f>'Q5 Urban Sector Correlation'!$H$5:$H$30</c:f>
              <c:numCache>
                <c:formatCode>0.000</c:formatCode>
                <c:ptCount val="26"/>
                <c:pt idx="0">
                  <c:v>-0.57373431579116818</c:v>
                </c:pt>
                <c:pt idx="1">
                  <c:v>0.2189004708182169</c:v>
                </c:pt>
                <c:pt idx="2">
                  <c:v>-0.10886578878523913</c:v>
                </c:pt>
                <c:pt idx="3">
                  <c:v>-0.53763411684825346</c:v>
                </c:pt>
                <c:pt idx="4">
                  <c:v>0.24796201049405403</c:v>
                </c:pt>
                <c:pt idx="5">
                  <c:v>1.61262152396206E-2</c:v>
                </c:pt>
                <c:pt idx="6">
                  <c:v>3.7144288044974527E-3</c:v>
                </c:pt>
                <c:pt idx="7">
                  <c:v>-0.21387400755663066</c:v>
                </c:pt>
                <c:pt idx="8">
                  <c:v>-7.7997294754389879E-2</c:v>
                </c:pt>
                <c:pt idx="9">
                  <c:v>-0.12213677167761036</c:v>
                </c:pt>
                <c:pt idx="10">
                  <c:v>-0.46255552878402922</c:v>
                </c:pt>
                <c:pt idx="11">
                  <c:v>-0.21391081120400493</c:v>
                </c:pt>
                <c:pt idx="12">
                  <c:v>-4.0098965878735349E-2</c:v>
                </c:pt>
                <c:pt idx="13">
                  <c:v>2.1697349069863497E-3</c:v>
                </c:pt>
                <c:pt idx="14">
                  <c:v>-0.14013400120599362</c:v>
                </c:pt>
                <c:pt idx="15">
                  <c:v>0.19175299404338098</c:v>
                </c:pt>
                <c:pt idx="16">
                  <c:v>-5.2164048696500674E-2</c:v>
                </c:pt>
                <c:pt idx="17">
                  <c:v>-8.1647150896443074E-2</c:v>
                </c:pt>
                <c:pt idx="18">
                  <c:v>1.8977091562088755E-3</c:v>
                </c:pt>
                <c:pt idx="19">
                  <c:v>6.8033653821380699E-2</c:v>
                </c:pt>
                <c:pt idx="20">
                  <c:v>0.10162035333261374</c:v>
                </c:pt>
                <c:pt idx="21">
                  <c:v>0.25609974181592904</c:v>
                </c:pt>
                <c:pt idx="22">
                  <c:v>0.25794669479418902</c:v>
                </c:pt>
                <c:pt idx="23">
                  <c:v>-0.26588985693034167</c:v>
                </c:pt>
                <c:pt idx="24">
                  <c:v>-0.27808885120141225</c:v>
                </c:pt>
                <c:pt idx="25">
                  <c:v>0.13402403692517445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A-487C-8E38-B976C53B51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29371920"/>
        <c:axId val="1629370960"/>
      </c:barChart>
      <c:catAx>
        <c:axId val="16293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70960"/>
        <c:crosses val="autoZero"/>
        <c:auto val="1"/>
        <c:lblAlgn val="ctr"/>
        <c:lblOffset val="100"/>
        <c:noMultiLvlLbl val="0"/>
      </c:catAx>
      <c:valAx>
        <c:axId val="16293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719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</a:t>
            </a:r>
            <a:r>
              <a:rPr lang="en-IN" baseline="0"/>
              <a:t> of Inflation in Crude oil Price with Various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'Q5RuralUrban Sector Correlation'!$H$4</c:f>
              <c:strCache>
                <c:ptCount val="1"/>
                <c:pt idx="0">
                  <c:v>Corelation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'Q5RuralUrban Sector Correlation'!$G$5:$G$30</c:f>
              <c:strCache>
                <c:ptCount val="26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sweets, etc.</c:v>
                </c:pt>
                <c:pt idx="12">
                  <c:v>Food and beverages</c:v>
                </c:pt>
                <c:pt idx="13">
                  <c:v>Pan, tobacco,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</c:strCache>
            </c:strRef>
          </c:cat>
          <c:val>
            <c:numRef>
              <c:f>'Q5RuralUrban Sector Correlation'!$H$5:$H$30</c:f>
              <c:numCache>
                <c:formatCode>0.000</c:formatCode>
                <c:ptCount val="26"/>
                <c:pt idx="0">
                  <c:v>-0.34950843670445497</c:v>
                </c:pt>
                <c:pt idx="1">
                  <c:v>0.57993784283909533</c:v>
                </c:pt>
                <c:pt idx="2">
                  <c:v>-0.11059283401886609</c:v>
                </c:pt>
                <c:pt idx="3">
                  <c:v>-0.29134152953577541</c:v>
                </c:pt>
                <c:pt idx="4">
                  <c:v>0.51666183182873271</c:v>
                </c:pt>
                <c:pt idx="5">
                  <c:v>0.10752133161756114</c:v>
                </c:pt>
                <c:pt idx="6">
                  <c:v>0.24816211316105977</c:v>
                </c:pt>
                <c:pt idx="7">
                  <c:v>-0.15621774168037136</c:v>
                </c:pt>
                <c:pt idx="8">
                  <c:v>-4.686248775383877E-2</c:v>
                </c:pt>
                <c:pt idx="9">
                  <c:v>-6.8542666496403476E-2</c:v>
                </c:pt>
                <c:pt idx="10">
                  <c:v>-6.9466092882781603E-3</c:v>
                </c:pt>
                <c:pt idx="11">
                  <c:v>0.1132585017491691</c:v>
                </c:pt>
                <c:pt idx="12">
                  <c:v>0.34415819048394491</c:v>
                </c:pt>
                <c:pt idx="13">
                  <c:v>-5.8124104156859195E-2</c:v>
                </c:pt>
                <c:pt idx="14">
                  <c:v>7.1334729445142797E-2</c:v>
                </c:pt>
                <c:pt idx="15">
                  <c:v>0.23273611842683412</c:v>
                </c:pt>
                <c:pt idx="16">
                  <c:v>0.11963089114146776</c:v>
                </c:pt>
                <c:pt idx="17">
                  <c:v>-9.8207951496237789E-2</c:v>
                </c:pt>
                <c:pt idx="18">
                  <c:v>0.1421615215874939</c:v>
                </c:pt>
                <c:pt idx="19">
                  <c:v>-1.5233345307590986E-2</c:v>
                </c:pt>
                <c:pt idx="20">
                  <c:v>-9.8067071442510326E-2</c:v>
                </c:pt>
                <c:pt idx="21">
                  <c:v>0.14066335229397289</c:v>
                </c:pt>
                <c:pt idx="22">
                  <c:v>6.1488540574993943E-2</c:v>
                </c:pt>
                <c:pt idx="23">
                  <c:v>4.5033900613614484E-3</c:v>
                </c:pt>
                <c:pt idx="24">
                  <c:v>0.10997997950161716</c:v>
                </c:pt>
                <c:pt idx="25">
                  <c:v>0.1041942633945681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A-4402-8F2D-360623C0C9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29371920"/>
        <c:axId val="1629370960"/>
      </c:barChart>
      <c:catAx>
        <c:axId val="16293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70960"/>
        <c:crosses val="autoZero"/>
        <c:auto val="1"/>
        <c:lblAlgn val="ctr"/>
        <c:lblOffset val="100"/>
        <c:noMultiLvlLbl val="0"/>
      </c:catAx>
      <c:valAx>
        <c:axId val="16293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719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M-O-M Inflation rate of Rural Sector for basic food items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M-O-M Inflation rate of Rural Sector for basic food items</a:t>
          </a:r>
        </a:p>
      </cx:txPr>
    </cx:title>
    <cx:plotArea>
      <cx:plotAreaRegion>
        <cx:series layoutId="waterfall" uniqueId="{00000002-0BB4-408F-9D36-1DBEC350757A}">
          <cx:tx>
            <cx:txData>
              <cx:f>_xlchart.v1.0</cx:f>
              <cx:v>Basic Food Items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txData>
          <cx:v>M-O-M Inflation rate of Rural Sector for food and other intoxicants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M-O-M Inflation rate of Rural Sector for food and other intoxicants</a:t>
          </a:r>
        </a:p>
      </cx:txPr>
    </cx:title>
    <cx:plotArea>
      <cx:plotAreaRegion>
        <cx:series layoutId="waterfall" uniqueId="{00000002-0BB4-408F-9D36-1DBEC350757A}">
          <cx:tx>
            <cx:txData>
              <cx:f>_xlchart.v1.3</cx:f>
              <cx:v>Other Food and Intoxicants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_xlchart.v1.8</cx:f>
      </cx:numDim>
    </cx:data>
  </cx:chartData>
  <cx:chart>
    <cx:title pos="t" align="ctr" overlay="0">
      <cx:tx>
        <cx:txData>
          <cx:v>M-O-M Inflation rate of Urban Sector for basic food items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M-O-M Inflation rate of Urban Sector for basic food items</a:t>
          </a:r>
        </a:p>
      </cx:txPr>
    </cx:title>
    <cx:plotArea>
      <cx:plotAreaRegion>
        <cx:series layoutId="waterfall" uniqueId="{00000002-0BB4-408F-9D36-1DBEC350757A}">
          <cx:tx>
            <cx:txData>
              <cx:f>_xlchart.v1.6</cx:f>
              <cx:v>Basic Food Items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_xlchart.v1.16</cx:f>
      </cx:strDim>
      <cx:numDim type="val">
        <cx:f dir="row">_xlchart.v1.17</cx:f>
      </cx:numDim>
    </cx:data>
  </cx:chartData>
  <cx:chart>
    <cx:title pos="t" align="ctr" overlay="0">
      <cx:tx>
        <cx:txData>
          <cx:v>M-O-M Inflation rate of Urban Sector for basic food items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M-O-M Inflation rate of Urban Sector for basic food items</a:t>
          </a:r>
        </a:p>
      </cx:txPr>
    </cx:title>
    <cx:plotArea>
      <cx:plotAreaRegion>
        <cx:series layoutId="waterfall" uniqueId="{00000002-0BB4-408F-9D36-1DBEC350757A}">
          <cx:tx>
            <cx:txData>
              <cx:f>_xlchart.v1.15</cx:f>
              <cx:v>Other Food and Intoxicants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_xlchart.v1.10</cx:f>
      </cx:strDim>
      <cx:numDim type="val">
        <cx:f dir="row">_xlchart.v1.11</cx:f>
      </cx:numDim>
    </cx:data>
  </cx:chartData>
  <cx:chart>
    <cx:title pos="t" align="ctr" overlay="0">
      <cx:tx>
        <cx:txData>
          <cx:v>M-O-M Inflation rate of Urban Sector for basic food items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M-O-M Inflation rate of Urban Sector for basic food items</a:t>
          </a:r>
        </a:p>
      </cx:txPr>
    </cx:title>
    <cx:plotArea>
      <cx:plotAreaRegion>
        <cx:series layoutId="waterfall" uniqueId="{00000002-0BB4-408F-9D36-1DBEC350757A}">
          <cx:tx>
            <cx:txData>
              <cx:f>_xlchart.v1.9</cx:f>
              <cx:v>Basic Food Items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_xlchart.v1.13</cx:f>
      </cx:strDim>
      <cx:numDim type="val">
        <cx:f dir="row">_xlchart.v1.14</cx:f>
      </cx:numDim>
    </cx:data>
  </cx:chartData>
  <cx:chart>
    <cx:title pos="t" align="ctr" overlay="0">
      <cx:tx>
        <cx:txData>
          <cx:v>M-O-M Inflation rate of Urban Sector for basic food items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M-O-M Inflation rate of Urban Sector for basic food items</a:t>
          </a:r>
        </a:p>
      </cx:txPr>
    </cx:title>
    <cx:plotArea>
      <cx:plotAreaRegion>
        <cx:series layoutId="waterfall" uniqueId="{00000002-0BB4-408F-9D36-1DBEC350757A}">
          <cx:tx>
            <cx:txData>
              <cx:f>_xlchart.v1.12</cx:f>
              <cx:v>Other Food and Intoxicants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microsoft.com/office/2014/relationships/chartEx" Target="../charts/chartEx3.xml"/><Relationship Id="rId7" Type="http://schemas.openxmlformats.org/officeDocument/2006/relationships/chart" Target="../charts/chart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Relationship Id="rId9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10</xdr:row>
      <xdr:rowOff>144462</xdr:rowOff>
    </xdr:from>
    <xdr:to>
      <xdr:col>13</xdr:col>
      <xdr:colOff>171449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C6F5B-7A43-16E5-3071-933AE36F2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12</xdr:row>
      <xdr:rowOff>179387</xdr:rowOff>
    </xdr:from>
    <xdr:to>
      <xdr:col>10</xdr:col>
      <xdr:colOff>323850</xdr:colOff>
      <xdr:row>28</xdr:row>
      <xdr:rowOff>30162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B1A2F-9B4F-F294-4643-13A417AB6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238124</xdr:colOff>
      <xdr:row>3</xdr:row>
      <xdr:rowOff>133350</xdr:rowOff>
    </xdr:from>
    <xdr:to>
      <xdr:col>41</xdr:col>
      <xdr:colOff>6350</xdr:colOff>
      <xdr:row>20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14460C-C372-0F92-B97E-AF0A62BE7A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37874" y="685800"/>
              <a:ext cx="7083426" cy="304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41</xdr:col>
      <xdr:colOff>53974</xdr:colOff>
      <xdr:row>3</xdr:row>
      <xdr:rowOff>120650</xdr:rowOff>
    </xdr:from>
    <xdr:to>
      <xdr:col>52</xdr:col>
      <xdr:colOff>431800</xdr:colOff>
      <xdr:row>20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0FDA62C-B426-1F29-2819-517081AFB9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8924" y="673100"/>
              <a:ext cx="7083426" cy="304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104774</xdr:colOff>
      <xdr:row>30</xdr:row>
      <xdr:rowOff>171450</xdr:rowOff>
    </xdr:from>
    <xdr:to>
      <xdr:col>40</xdr:col>
      <xdr:colOff>482600</xdr:colOff>
      <xdr:row>47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EA688DB-4FA1-13D6-2FDA-1A4BB10131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04524" y="5695950"/>
              <a:ext cx="7083426" cy="304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40</xdr:col>
      <xdr:colOff>568324</xdr:colOff>
      <xdr:row>30</xdr:row>
      <xdr:rowOff>165100</xdr:rowOff>
    </xdr:from>
    <xdr:to>
      <xdr:col>52</xdr:col>
      <xdr:colOff>336550</xdr:colOff>
      <xdr:row>47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959A099-A7D2-D1C1-31B0-EDA69A5BF0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73674" y="5689600"/>
              <a:ext cx="7083426" cy="304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66674</xdr:colOff>
      <xdr:row>56</xdr:row>
      <xdr:rowOff>177800</xdr:rowOff>
    </xdr:from>
    <xdr:to>
      <xdr:col>40</xdr:col>
      <xdr:colOff>444500</xdr:colOff>
      <xdr:row>73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7375E6B-7D05-A5CE-3D8F-2430ECD0A7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66424" y="10490200"/>
              <a:ext cx="7083426" cy="304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40</xdr:col>
      <xdr:colOff>530224</xdr:colOff>
      <xdr:row>56</xdr:row>
      <xdr:rowOff>171450</xdr:rowOff>
    </xdr:from>
    <xdr:to>
      <xdr:col>52</xdr:col>
      <xdr:colOff>298450</xdr:colOff>
      <xdr:row>73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6B62DE6-8369-E022-D4DF-C43928586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35574" y="10483850"/>
              <a:ext cx="7083426" cy="304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52</xdr:col>
      <xdr:colOff>553692</xdr:colOff>
      <xdr:row>3</xdr:row>
      <xdr:rowOff>104361</xdr:rowOff>
    </xdr:from>
    <xdr:to>
      <xdr:col>68</xdr:col>
      <xdr:colOff>485589</xdr:colOff>
      <xdr:row>20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7036AD-85AA-7444-3BAD-4D1F892B9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52</xdr:col>
      <xdr:colOff>496915</xdr:colOff>
      <xdr:row>30</xdr:row>
      <xdr:rowOff>167114</xdr:rowOff>
    </xdr:from>
    <xdr:to>
      <xdr:col>68</xdr:col>
      <xdr:colOff>428812</xdr:colOff>
      <xdr:row>47</xdr:row>
      <xdr:rowOff>107577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341781-0470-9F95-4F31-39B618C07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52</xdr:col>
      <xdr:colOff>522315</xdr:colOff>
      <xdr:row>56</xdr:row>
      <xdr:rowOff>132749</xdr:rowOff>
    </xdr:from>
    <xdr:to>
      <xdr:col>68</xdr:col>
      <xdr:colOff>454212</xdr:colOff>
      <xdr:row>73</xdr:row>
      <xdr:rowOff>73212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310F2FF-31AE-F76E-47A7-4CC5A0D60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50066</xdr:colOff>
      <xdr:row>12</xdr:row>
      <xdr:rowOff>98669</xdr:rowOff>
    </xdr:from>
    <xdr:to>
      <xdr:col>39</xdr:col>
      <xdr:colOff>841618</xdr:colOff>
      <xdr:row>37</xdr:row>
      <xdr:rowOff>22469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17DE4B-C23C-E424-193A-CAD91DACC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1181100</xdr:colOff>
      <xdr:row>14</xdr:row>
      <xdr:rowOff>152400</xdr:rowOff>
    </xdr:from>
    <xdr:to>
      <xdr:col>34</xdr:col>
      <xdr:colOff>641350</xdr:colOff>
      <xdr:row>16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3131F82-A673-6B91-421A-16FCEAF4DF48}"/>
            </a:ext>
          </a:extLst>
        </xdr:cNvPr>
        <xdr:cNvSpPr/>
      </xdr:nvSpPr>
      <xdr:spPr>
        <a:xfrm>
          <a:off x="30505400" y="2730500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38</xdr:col>
      <xdr:colOff>1066800</xdr:colOff>
      <xdr:row>14</xdr:row>
      <xdr:rowOff>152400</xdr:rowOff>
    </xdr:from>
    <xdr:to>
      <xdr:col>39</xdr:col>
      <xdr:colOff>228600</xdr:colOff>
      <xdr:row>16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CB92A64-7A70-7218-DC6C-5AFAE05AA55B}"/>
            </a:ext>
          </a:extLst>
        </xdr:cNvPr>
        <xdr:cNvSpPr/>
      </xdr:nvSpPr>
      <xdr:spPr>
        <a:xfrm>
          <a:off x="35687000" y="2730500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  <xdr:twoCellAnchor>
    <xdr:from>
      <xdr:col>36</xdr:col>
      <xdr:colOff>1611923</xdr:colOff>
      <xdr:row>15</xdr:row>
      <xdr:rowOff>117231</xdr:rowOff>
    </xdr:from>
    <xdr:to>
      <xdr:col>36</xdr:col>
      <xdr:colOff>1611923</xdr:colOff>
      <xdr:row>23</xdr:row>
      <xdr:rowOff>4884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6102561-00FE-1824-23F0-AC55A2AC54DA}"/>
            </a:ext>
          </a:extLst>
        </xdr:cNvPr>
        <xdr:cNvCxnSpPr/>
      </xdr:nvCxnSpPr>
      <xdr:spPr>
        <a:xfrm>
          <a:off x="33772231" y="2901462"/>
          <a:ext cx="0" cy="1372576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1612900</xdr:colOff>
      <xdr:row>23</xdr:row>
      <xdr:rowOff>127984</xdr:rowOff>
    </xdr:from>
    <xdr:to>
      <xdr:col>36</xdr:col>
      <xdr:colOff>1612900</xdr:colOff>
      <xdr:row>28</xdr:row>
      <xdr:rowOff>127003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ECFFC82-C5F0-F6FF-CC61-CA6DCF05D1BC}"/>
            </a:ext>
          </a:extLst>
        </xdr:cNvPr>
        <xdr:cNvCxnSpPr/>
      </xdr:nvCxnSpPr>
      <xdr:spPr>
        <a:xfrm>
          <a:off x="33818606" y="4423572"/>
          <a:ext cx="0" cy="932843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60525</xdr:colOff>
      <xdr:row>37</xdr:row>
      <xdr:rowOff>71775</xdr:rowOff>
    </xdr:from>
    <xdr:to>
      <xdr:col>39</xdr:col>
      <xdr:colOff>852077</xdr:colOff>
      <xdr:row>61</xdr:row>
      <xdr:rowOff>182340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9A16A8F-2FCD-AFBC-C4FF-0845C5C6C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900206</xdr:colOff>
      <xdr:row>40</xdr:row>
      <xdr:rowOff>80683</xdr:rowOff>
    </xdr:from>
    <xdr:to>
      <xdr:col>34</xdr:col>
      <xdr:colOff>360456</xdr:colOff>
      <xdr:row>42</xdr:row>
      <xdr:rowOff>42582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CB7A54C3-66F5-52A0-1CB1-7C746DC6E745}"/>
            </a:ext>
          </a:extLst>
        </xdr:cNvPr>
        <xdr:cNvSpPr/>
      </xdr:nvSpPr>
      <xdr:spPr>
        <a:xfrm>
          <a:off x="30259618" y="7551271"/>
          <a:ext cx="999191" cy="335429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38</xdr:col>
      <xdr:colOff>1077258</xdr:colOff>
      <xdr:row>39</xdr:row>
      <xdr:rowOff>118035</xdr:rowOff>
    </xdr:from>
    <xdr:to>
      <xdr:col>39</xdr:col>
      <xdr:colOff>239058</xdr:colOff>
      <xdr:row>41</xdr:row>
      <xdr:rowOff>79935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7272A1B-3F8D-34E5-D6D4-DD40A2D8E1C7}"/>
            </a:ext>
          </a:extLst>
        </xdr:cNvPr>
        <xdr:cNvSpPr/>
      </xdr:nvSpPr>
      <xdr:spPr>
        <a:xfrm>
          <a:off x="35763199" y="7401859"/>
          <a:ext cx="999565" cy="335429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  <xdr:twoCellAnchor>
    <xdr:from>
      <xdr:col>36</xdr:col>
      <xdr:colOff>1502853</xdr:colOff>
      <xdr:row>40</xdr:row>
      <xdr:rowOff>75398</xdr:rowOff>
    </xdr:from>
    <xdr:to>
      <xdr:col>36</xdr:col>
      <xdr:colOff>1502853</xdr:colOff>
      <xdr:row>47</xdr:row>
      <xdr:rowOff>149815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83D95EB-44C9-F774-DCC6-003400C9AB85}"/>
            </a:ext>
          </a:extLst>
        </xdr:cNvPr>
        <xdr:cNvCxnSpPr/>
      </xdr:nvCxnSpPr>
      <xdr:spPr>
        <a:xfrm>
          <a:off x="33708559" y="7545986"/>
          <a:ext cx="0" cy="1381770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1503829</xdr:colOff>
      <xdr:row>48</xdr:row>
      <xdr:rowOff>101096</xdr:rowOff>
    </xdr:from>
    <xdr:to>
      <xdr:col>36</xdr:col>
      <xdr:colOff>1503829</xdr:colOff>
      <xdr:row>53</xdr:row>
      <xdr:rowOff>100116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E9EBED-AFF3-1AFE-3FD8-ECB6F810E349}"/>
            </a:ext>
          </a:extLst>
        </xdr:cNvPr>
        <xdr:cNvCxnSpPr/>
      </xdr:nvCxnSpPr>
      <xdr:spPr>
        <a:xfrm>
          <a:off x="33709535" y="9065802"/>
          <a:ext cx="0" cy="932843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80053</xdr:colOff>
      <xdr:row>12</xdr:row>
      <xdr:rowOff>78498</xdr:rowOff>
    </xdr:from>
    <xdr:to>
      <xdr:col>54</xdr:col>
      <xdr:colOff>72252</xdr:colOff>
      <xdr:row>32</xdr:row>
      <xdr:rowOff>56029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1D3F0CD-DE76-9768-7CC6-2DFD62B5A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248782</xdr:colOff>
      <xdr:row>21</xdr:row>
      <xdr:rowOff>33852</xdr:rowOff>
    </xdr:from>
    <xdr:to>
      <xdr:col>48</xdr:col>
      <xdr:colOff>248782</xdr:colOff>
      <xdr:row>25</xdr:row>
      <xdr:rowOff>127000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54B7FFC-B30E-111C-B315-A8BF9B295277}"/>
            </a:ext>
          </a:extLst>
        </xdr:cNvPr>
        <xdr:cNvCxnSpPr/>
      </xdr:nvCxnSpPr>
      <xdr:spPr>
        <a:xfrm>
          <a:off x="42539782" y="3955911"/>
          <a:ext cx="0" cy="840207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244300</xdr:colOff>
      <xdr:row>15</xdr:row>
      <xdr:rowOff>156365</xdr:rowOff>
    </xdr:from>
    <xdr:to>
      <xdr:col>48</xdr:col>
      <xdr:colOff>244300</xdr:colOff>
      <xdr:row>20</xdr:row>
      <xdr:rowOff>62749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756139-8D11-268C-0F47-0883842360A3}"/>
            </a:ext>
          </a:extLst>
        </xdr:cNvPr>
        <xdr:cNvCxnSpPr/>
      </xdr:nvCxnSpPr>
      <xdr:spPr>
        <a:xfrm>
          <a:off x="42535300" y="2957836"/>
          <a:ext cx="0" cy="840207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254000</xdr:colOff>
      <xdr:row>14</xdr:row>
      <xdr:rowOff>141515</xdr:rowOff>
    </xdr:from>
    <xdr:to>
      <xdr:col>44</xdr:col>
      <xdr:colOff>31750</xdr:colOff>
      <xdr:row>16</xdr:row>
      <xdr:rowOff>103415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DC5A266E-7D30-4F97-6EDA-75D6D1AE72DF}"/>
            </a:ext>
          </a:extLst>
        </xdr:cNvPr>
        <xdr:cNvSpPr/>
      </xdr:nvSpPr>
      <xdr:spPr>
        <a:xfrm>
          <a:off x="38816643" y="2681515"/>
          <a:ext cx="993321" cy="324757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52</xdr:col>
      <xdr:colOff>139700</xdr:colOff>
      <xdr:row>14</xdr:row>
      <xdr:rowOff>123372</xdr:rowOff>
    </xdr:from>
    <xdr:to>
      <xdr:col>53</xdr:col>
      <xdr:colOff>526143</xdr:colOff>
      <xdr:row>16</xdr:row>
      <xdr:rowOff>85272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FC2862E3-B617-105A-4707-836C8E304864}"/>
            </a:ext>
          </a:extLst>
        </xdr:cNvPr>
        <xdr:cNvSpPr/>
      </xdr:nvSpPr>
      <xdr:spPr>
        <a:xfrm>
          <a:off x="44780200" y="2663372"/>
          <a:ext cx="994229" cy="324757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50066</xdr:colOff>
      <xdr:row>12</xdr:row>
      <xdr:rowOff>98669</xdr:rowOff>
    </xdr:from>
    <xdr:to>
      <xdr:col>39</xdr:col>
      <xdr:colOff>841618</xdr:colOff>
      <xdr:row>37</xdr:row>
      <xdr:rowOff>22469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B15AE-8A02-4F43-9999-5323870F5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1181100</xdr:colOff>
      <xdr:row>14</xdr:row>
      <xdr:rowOff>152400</xdr:rowOff>
    </xdr:from>
    <xdr:to>
      <xdr:col>34</xdr:col>
      <xdr:colOff>641350</xdr:colOff>
      <xdr:row>16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7AE0EE0-64FF-48F6-BCDA-058571B9AB2B}"/>
            </a:ext>
          </a:extLst>
        </xdr:cNvPr>
        <xdr:cNvSpPr/>
      </xdr:nvSpPr>
      <xdr:spPr>
        <a:xfrm>
          <a:off x="30505400" y="2730500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38</xdr:col>
      <xdr:colOff>1066800</xdr:colOff>
      <xdr:row>14</xdr:row>
      <xdr:rowOff>152400</xdr:rowOff>
    </xdr:from>
    <xdr:to>
      <xdr:col>39</xdr:col>
      <xdr:colOff>228600</xdr:colOff>
      <xdr:row>16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2E7205A-45C3-4D0C-B653-B8DD78E6A164}"/>
            </a:ext>
          </a:extLst>
        </xdr:cNvPr>
        <xdr:cNvSpPr/>
      </xdr:nvSpPr>
      <xdr:spPr>
        <a:xfrm>
          <a:off x="35712400" y="2730500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  <xdr:twoCellAnchor>
    <xdr:from>
      <xdr:col>36</xdr:col>
      <xdr:colOff>1611923</xdr:colOff>
      <xdr:row>15</xdr:row>
      <xdr:rowOff>117231</xdr:rowOff>
    </xdr:from>
    <xdr:to>
      <xdr:col>36</xdr:col>
      <xdr:colOff>1611923</xdr:colOff>
      <xdr:row>23</xdr:row>
      <xdr:rowOff>4884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41C1B17-5512-475A-96E4-CE56B5D27254}"/>
            </a:ext>
          </a:extLst>
        </xdr:cNvPr>
        <xdr:cNvCxnSpPr/>
      </xdr:nvCxnSpPr>
      <xdr:spPr>
        <a:xfrm>
          <a:off x="33781023" y="2879481"/>
          <a:ext cx="0" cy="1360853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1612900</xdr:colOff>
      <xdr:row>23</xdr:row>
      <xdr:rowOff>127984</xdr:rowOff>
    </xdr:from>
    <xdr:to>
      <xdr:col>36</xdr:col>
      <xdr:colOff>1612900</xdr:colOff>
      <xdr:row>28</xdr:row>
      <xdr:rowOff>127003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B75DB41-2C44-4DC1-983E-E6C5430752AB}"/>
            </a:ext>
          </a:extLst>
        </xdr:cNvPr>
        <xdr:cNvCxnSpPr/>
      </xdr:nvCxnSpPr>
      <xdr:spPr>
        <a:xfrm>
          <a:off x="33782000" y="4363434"/>
          <a:ext cx="0" cy="919769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60525</xdr:colOff>
      <xdr:row>37</xdr:row>
      <xdr:rowOff>71775</xdr:rowOff>
    </xdr:from>
    <xdr:to>
      <xdr:col>39</xdr:col>
      <xdr:colOff>852077</xdr:colOff>
      <xdr:row>61</xdr:row>
      <xdr:rowOff>182340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D01461-AFD7-4CF4-8689-9AD9C5E90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900206</xdr:colOff>
      <xdr:row>40</xdr:row>
      <xdr:rowOff>80683</xdr:rowOff>
    </xdr:from>
    <xdr:to>
      <xdr:col>34</xdr:col>
      <xdr:colOff>360456</xdr:colOff>
      <xdr:row>42</xdr:row>
      <xdr:rowOff>42582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C40FC40-C5EE-423A-845A-4FE5695A4C16}"/>
            </a:ext>
          </a:extLst>
        </xdr:cNvPr>
        <xdr:cNvSpPr/>
      </xdr:nvSpPr>
      <xdr:spPr>
        <a:xfrm>
          <a:off x="30224506" y="7446683"/>
          <a:ext cx="996950" cy="330199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38</xdr:col>
      <xdr:colOff>1077258</xdr:colOff>
      <xdr:row>39</xdr:row>
      <xdr:rowOff>118035</xdr:rowOff>
    </xdr:from>
    <xdr:to>
      <xdr:col>39</xdr:col>
      <xdr:colOff>239058</xdr:colOff>
      <xdr:row>41</xdr:row>
      <xdr:rowOff>79935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F4F09C4-7847-4338-AD9E-155CEF579AB8}"/>
            </a:ext>
          </a:extLst>
        </xdr:cNvPr>
        <xdr:cNvSpPr/>
      </xdr:nvSpPr>
      <xdr:spPr>
        <a:xfrm>
          <a:off x="35722858" y="7299885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  <xdr:twoCellAnchor>
    <xdr:from>
      <xdr:col>36</xdr:col>
      <xdr:colOff>1502853</xdr:colOff>
      <xdr:row>40</xdr:row>
      <xdr:rowOff>75398</xdr:rowOff>
    </xdr:from>
    <xdr:to>
      <xdr:col>36</xdr:col>
      <xdr:colOff>1502853</xdr:colOff>
      <xdr:row>47</xdr:row>
      <xdr:rowOff>149815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0BC7299-606C-4518-B0A5-A4D707DC5FF5}"/>
            </a:ext>
          </a:extLst>
        </xdr:cNvPr>
        <xdr:cNvCxnSpPr/>
      </xdr:nvCxnSpPr>
      <xdr:spPr>
        <a:xfrm>
          <a:off x="33671953" y="7441398"/>
          <a:ext cx="0" cy="1363467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1503829</xdr:colOff>
      <xdr:row>48</xdr:row>
      <xdr:rowOff>101096</xdr:rowOff>
    </xdr:from>
    <xdr:to>
      <xdr:col>36</xdr:col>
      <xdr:colOff>1503829</xdr:colOff>
      <xdr:row>53</xdr:row>
      <xdr:rowOff>100116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435088D-691C-43ED-8E9D-B48F5CCD590A}"/>
            </a:ext>
          </a:extLst>
        </xdr:cNvPr>
        <xdr:cNvCxnSpPr/>
      </xdr:nvCxnSpPr>
      <xdr:spPr>
        <a:xfrm>
          <a:off x="33672929" y="8940296"/>
          <a:ext cx="0" cy="919770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80053</xdr:colOff>
      <xdr:row>12</xdr:row>
      <xdr:rowOff>78498</xdr:rowOff>
    </xdr:from>
    <xdr:to>
      <xdr:col>54</xdr:col>
      <xdr:colOff>72252</xdr:colOff>
      <xdr:row>32</xdr:row>
      <xdr:rowOff>56029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5DC674-C35D-49FF-953B-D84BCA01A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248782</xdr:colOff>
      <xdr:row>21</xdr:row>
      <xdr:rowOff>33852</xdr:rowOff>
    </xdr:from>
    <xdr:to>
      <xdr:col>48</xdr:col>
      <xdr:colOff>248782</xdr:colOff>
      <xdr:row>25</xdr:row>
      <xdr:rowOff>127000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CB0ED3F-6849-4490-970D-AB19B39B1125}"/>
            </a:ext>
          </a:extLst>
        </xdr:cNvPr>
        <xdr:cNvCxnSpPr/>
      </xdr:nvCxnSpPr>
      <xdr:spPr>
        <a:xfrm>
          <a:off x="42469932" y="3901002"/>
          <a:ext cx="0" cy="829748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244300</xdr:colOff>
      <xdr:row>15</xdr:row>
      <xdr:rowOff>156365</xdr:rowOff>
    </xdr:from>
    <xdr:to>
      <xdr:col>48</xdr:col>
      <xdr:colOff>244300</xdr:colOff>
      <xdr:row>20</xdr:row>
      <xdr:rowOff>62749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8E1C9FE-7DD8-47B2-8BCC-C7BB71A7ECEF}"/>
            </a:ext>
          </a:extLst>
        </xdr:cNvPr>
        <xdr:cNvCxnSpPr/>
      </xdr:nvCxnSpPr>
      <xdr:spPr>
        <a:xfrm>
          <a:off x="42465450" y="2918615"/>
          <a:ext cx="0" cy="827134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254000</xdr:colOff>
      <xdr:row>14</xdr:row>
      <xdr:rowOff>141515</xdr:rowOff>
    </xdr:from>
    <xdr:to>
      <xdr:col>44</xdr:col>
      <xdr:colOff>31750</xdr:colOff>
      <xdr:row>16</xdr:row>
      <xdr:rowOff>103415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374CB59C-EF53-4B9F-8CF5-B3FF4EF1A759}"/>
            </a:ext>
          </a:extLst>
        </xdr:cNvPr>
        <xdr:cNvSpPr/>
      </xdr:nvSpPr>
      <xdr:spPr>
        <a:xfrm>
          <a:off x="38817550" y="2719615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52</xdr:col>
      <xdr:colOff>139700</xdr:colOff>
      <xdr:row>14</xdr:row>
      <xdr:rowOff>123372</xdr:rowOff>
    </xdr:from>
    <xdr:to>
      <xdr:col>53</xdr:col>
      <xdr:colOff>526143</xdr:colOff>
      <xdr:row>16</xdr:row>
      <xdr:rowOff>85272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80F38D7-0D49-491A-9D89-A8548B7DFD53}"/>
            </a:ext>
          </a:extLst>
        </xdr:cNvPr>
        <xdr:cNvSpPr/>
      </xdr:nvSpPr>
      <xdr:spPr>
        <a:xfrm>
          <a:off x="44799250" y="2701472"/>
          <a:ext cx="996043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50066</xdr:colOff>
      <xdr:row>12</xdr:row>
      <xdr:rowOff>98669</xdr:rowOff>
    </xdr:from>
    <xdr:to>
      <xdr:col>39</xdr:col>
      <xdr:colOff>841618</xdr:colOff>
      <xdr:row>37</xdr:row>
      <xdr:rowOff>22469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5AC85-3B9A-4550-868D-C9309146A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1181100</xdr:colOff>
      <xdr:row>14</xdr:row>
      <xdr:rowOff>152400</xdr:rowOff>
    </xdr:from>
    <xdr:to>
      <xdr:col>34</xdr:col>
      <xdr:colOff>641350</xdr:colOff>
      <xdr:row>16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ED49E27-7F9F-407D-A99C-E2E4FE4118E2}"/>
            </a:ext>
          </a:extLst>
        </xdr:cNvPr>
        <xdr:cNvSpPr/>
      </xdr:nvSpPr>
      <xdr:spPr>
        <a:xfrm>
          <a:off x="30505400" y="2730500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38</xdr:col>
      <xdr:colOff>1066800</xdr:colOff>
      <xdr:row>14</xdr:row>
      <xdr:rowOff>152400</xdr:rowOff>
    </xdr:from>
    <xdr:to>
      <xdr:col>39</xdr:col>
      <xdr:colOff>228600</xdr:colOff>
      <xdr:row>16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0EC4092-6D55-4118-9182-04DBE7D28736}"/>
            </a:ext>
          </a:extLst>
        </xdr:cNvPr>
        <xdr:cNvSpPr/>
      </xdr:nvSpPr>
      <xdr:spPr>
        <a:xfrm>
          <a:off x="35712400" y="2730500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  <xdr:twoCellAnchor>
    <xdr:from>
      <xdr:col>36</xdr:col>
      <xdr:colOff>1611923</xdr:colOff>
      <xdr:row>15</xdr:row>
      <xdr:rowOff>117231</xdr:rowOff>
    </xdr:from>
    <xdr:to>
      <xdr:col>36</xdr:col>
      <xdr:colOff>1611923</xdr:colOff>
      <xdr:row>23</xdr:row>
      <xdr:rowOff>4884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6380663-A847-4580-8EF5-225D7D0D9808}"/>
            </a:ext>
          </a:extLst>
        </xdr:cNvPr>
        <xdr:cNvCxnSpPr/>
      </xdr:nvCxnSpPr>
      <xdr:spPr>
        <a:xfrm>
          <a:off x="33781023" y="2879481"/>
          <a:ext cx="0" cy="1360853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1612900</xdr:colOff>
      <xdr:row>23</xdr:row>
      <xdr:rowOff>127984</xdr:rowOff>
    </xdr:from>
    <xdr:to>
      <xdr:col>36</xdr:col>
      <xdr:colOff>1612900</xdr:colOff>
      <xdr:row>28</xdr:row>
      <xdr:rowOff>127003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5377952-904B-42FF-856F-D6DB1D6F0D9C}"/>
            </a:ext>
          </a:extLst>
        </xdr:cNvPr>
        <xdr:cNvCxnSpPr/>
      </xdr:nvCxnSpPr>
      <xdr:spPr>
        <a:xfrm>
          <a:off x="33782000" y="4363434"/>
          <a:ext cx="0" cy="919769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60525</xdr:colOff>
      <xdr:row>37</xdr:row>
      <xdr:rowOff>71775</xdr:rowOff>
    </xdr:from>
    <xdr:to>
      <xdr:col>39</xdr:col>
      <xdr:colOff>852077</xdr:colOff>
      <xdr:row>61</xdr:row>
      <xdr:rowOff>182340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393160-9336-47B4-B69E-B488D0585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900206</xdr:colOff>
      <xdr:row>40</xdr:row>
      <xdr:rowOff>80683</xdr:rowOff>
    </xdr:from>
    <xdr:to>
      <xdr:col>34</xdr:col>
      <xdr:colOff>360456</xdr:colOff>
      <xdr:row>42</xdr:row>
      <xdr:rowOff>42582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A841554-9AF3-4EBC-A131-5EA00BCF72DE}"/>
            </a:ext>
          </a:extLst>
        </xdr:cNvPr>
        <xdr:cNvSpPr/>
      </xdr:nvSpPr>
      <xdr:spPr>
        <a:xfrm>
          <a:off x="30224506" y="7446683"/>
          <a:ext cx="996950" cy="330199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38</xdr:col>
      <xdr:colOff>1077258</xdr:colOff>
      <xdr:row>39</xdr:row>
      <xdr:rowOff>118035</xdr:rowOff>
    </xdr:from>
    <xdr:to>
      <xdr:col>39</xdr:col>
      <xdr:colOff>239058</xdr:colOff>
      <xdr:row>41</xdr:row>
      <xdr:rowOff>79935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0FC998C-4E02-45A0-A7B7-168657861730}"/>
            </a:ext>
          </a:extLst>
        </xdr:cNvPr>
        <xdr:cNvSpPr/>
      </xdr:nvSpPr>
      <xdr:spPr>
        <a:xfrm>
          <a:off x="35722858" y="7299885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  <xdr:twoCellAnchor>
    <xdr:from>
      <xdr:col>36</xdr:col>
      <xdr:colOff>1502853</xdr:colOff>
      <xdr:row>40</xdr:row>
      <xdr:rowOff>75398</xdr:rowOff>
    </xdr:from>
    <xdr:to>
      <xdr:col>36</xdr:col>
      <xdr:colOff>1502853</xdr:colOff>
      <xdr:row>47</xdr:row>
      <xdr:rowOff>149815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FD1B3B7-FD76-438C-A6E3-8A2F02D8C63F}"/>
            </a:ext>
          </a:extLst>
        </xdr:cNvPr>
        <xdr:cNvCxnSpPr/>
      </xdr:nvCxnSpPr>
      <xdr:spPr>
        <a:xfrm>
          <a:off x="33671953" y="7441398"/>
          <a:ext cx="0" cy="1363467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1503829</xdr:colOff>
      <xdr:row>48</xdr:row>
      <xdr:rowOff>101096</xdr:rowOff>
    </xdr:from>
    <xdr:to>
      <xdr:col>36</xdr:col>
      <xdr:colOff>1503829</xdr:colOff>
      <xdr:row>53</xdr:row>
      <xdr:rowOff>100116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F7D1C3E-91F9-4358-8467-DC98A4610792}"/>
            </a:ext>
          </a:extLst>
        </xdr:cNvPr>
        <xdr:cNvCxnSpPr/>
      </xdr:nvCxnSpPr>
      <xdr:spPr>
        <a:xfrm>
          <a:off x="33672929" y="8940296"/>
          <a:ext cx="0" cy="919770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80053</xdr:colOff>
      <xdr:row>12</xdr:row>
      <xdr:rowOff>78498</xdr:rowOff>
    </xdr:from>
    <xdr:to>
      <xdr:col>54</xdr:col>
      <xdr:colOff>72252</xdr:colOff>
      <xdr:row>32</xdr:row>
      <xdr:rowOff>56029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B4CEE86-0B49-47D4-A586-D14FCC7F5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248782</xdr:colOff>
      <xdr:row>21</xdr:row>
      <xdr:rowOff>33852</xdr:rowOff>
    </xdr:from>
    <xdr:to>
      <xdr:col>48</xdr:col>
      <xdr:colOff>248782</xdr:colOff>
      <xdr:row>25</xdr:row>
      <xdr:rowOff>127000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D9AF4CE-A1BB-41C0-80BA-DD5F14DE260A}"/>
            </a:ext>
          </a:extLst>
        </xdr:cNvPr>
        <xdr:cNvCxnSpPr/>
      </xdr:nvCxnSpPr>
      <xdr:spPr>
        <a:xfrm>
          <a:off x="42469932" y="3901002"/>
          <a:ext cx="0" cy="829748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244300</xdr:colOff>
      <xdr:row>15</xdr:row>
      <xdr:rowOff>156365</xdr:rowOff>
    </xdr:from>
    <xdr:to>
      <xdr:col>48</xdr:col>
      <xdr:colOff>244300</xdr:colOff>
      <xdr:row>20</xdr:row>
      <xdr:rowOff>62749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441B12B-7A20-490C-9FEE-93D8C8EE2C47}"/>
            </a:ext>
          </a:extLst>
        </xdr:cNvPr>
        <xdr:cNvCxnSpPr/>
      </xdr:nvCxnSpPr>
      <xdr:spPr>
        <a:xfrm>
          <a:off x="42465450" y="2918615"/>
          <a:ext cx="0" cy="827134"/>
        </a:xfrm>
        <a:prstGeom prst="line">
          <a:avLst/>
        </a:prstGeom>
        <a:ln w="38100" cmpd="sng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254000</xdr:colOff>
      <xdr:row>14</xdr:row>
      <xdr:rowOff>141515</xdr:rowOff>
    </xdr:from>
    <xdr:to>
      <xdr:col>44</xdr:col>
      <xdr:colOff>31750</xdr:colOff>
      <xdr:row>16</xdr:row>
      <xdr:rowOff>103415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B804C2B-5AFA-437E-9737-848A01E6A792}"/>
            </a:ext>
          </a:extLst>
        </xdr:cNvPr>
        <xdr:cNvSpPr/>
      </xdr:nvSpPr>
      <xdr:spPr>
        <a:xfrm>
          <a:off x="38817550" y="2719615"/>
          <a:ext cx="996950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Before Covid</a:t>
          </a:r>
        </a:p>
      </xdr:txBody>
    </xdr:sp>
    <xdr:clientData/>
  </xdr:twoCellAnchor>
  <xdr:twoCellAnchor>
    <xdr:from>
      <xdr:col>52</xdr:col>
      <xdr:colOff>139700</xdr:colOff>
      <xdr:row>14</xdr:row>
      <xdr:rowOff>123372</xdr:rowOff>
    </xdr:from>
    <xdr:to>
      <xdr:col>53</xdr:col>
      <xdr:colOff>526143</xdr:colOff>
      <xdr:row>16</xdr:row>
      <xdr:rowOff>85272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DEB4653-112B-4EA8-84F0-1A858428DA56}"/>
            </a:ext>
          </a:extLst>
        </xdr:cNvPr>
        <xdr:cNvSpPr/>
      </xdr:nvSpPr>
      <xdr:spPr>
        <a:xfrm>
          <a:off x="44799250" y="2701472"/>
          <a:ext cx="996043" cy="330200"/>
        </a:xfrm>
        <a:prstGeom prst="roundRect">
          <a:avLst>
            <a:gd name="adj" fmla="val 138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 Covid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422274</xdr:colOff>
      <xdr:row>26</xdr:row>
      <xdr:rowOff>127000</xdr:rowOff>
    </xdr:from>
    <xdr:to>
      <xdr:col>9</xdr:col>
      <xdr:colOff>273050</xdr:colOff>
      <xdr:row>44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58E00-5636-AC6E-665E-EB4A4ED27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1</xdr:row>
      <xdr:rowOff>139700</xdr:rowOff>
    </xdr:from>
    <xdr:to>
      <xdr:col>27</xdr:col>
      <xdr:colOff>209550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10BEB-AED3-4133-BA85-281013ED5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2</xdr:row>
      <xdr:rowOff>0</xdr:rowOff>
    </xdr:from>
    <xdr:to>
      <xdr:col>27</xdr:col>
      <xdr:colOff>222250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24DE2-475C-4814-B666-9A7391A02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234950</xdr:colOff>
      <xdr:row>2</xdr:row>
      <xdr:rowOff>69850</xdr:rowOff>
    </xdr:from>
    <xdr:to>
      <xdr:col>27</xdr:col>
      <xdr:colOff>304800</xdr:colOff>
      <xdr:row>29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ECB63-14E1-44E2-851A-8970BCD85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har\Downloads\CPI%20Inflation%20Data.xlsx" TargetMode="External"/><Relationship Id="rId1" Type="http://schemas.openxmlformats.org/officeDocument/2006/relationships/externalLinkPath" Target="CPI%20Inflatio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Data"/>
      <sheetName val="Urban"/>
      <sheetName val="Rural"/>
      <sheetName val="RuralAndUrban"/>
      <sheetName val="Notes"/>
      <sheetName val="EDA and Analysis1"/>
      <sheetName val="Communication of Analysis 1"/>
      <sheetName val="EDA and Analysis2"/>
      <sheetName val="Communication of Analysis 2"/>
      <sheetName val="EDA and Analysis3"/>
      <sheetName val="Analysis 3"/>
      <sheetName val="Communication of Analysis 3"/>
      <sheetName val="EDA 4"/>
      <sheetName val="Analysis 4"/>
      <sheetName val="Communication of Analysis 4"/>
      <sheetName val="Sheet1"/>
      <sheetName val="Sheet2"/>
      <sheetName val="2021-2022 Crude Oil"/>
      <sheetName val="2022-23 Crude Oil"/>
      <sheetName val="EDA 5"/>
      <sheetName val="EDA 5 Part2"/>
      <sheetName val="Analysis 5"/>
      <sheetName val="Communication of Analysis 5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Item Category</v>
          </cell>
          <cell r="B1" t="str">
            <v>Broader Category</v>
          </cell>
        </row>
        <row r="2">
          <cell r="A2" t="str">
            <v>Cereals and products</v>
          </cell>
          <cell r="B2" t="str">
            <v>Basic Food Items</v>
          </cell>
        </row>
        <row r="3">
          <cell r="A3" t="str">
            <v>Meat and fish</v>
          </cell>
          <cell r="B3" t="str">
            <v>Basic Food Items</v>
          </cell>
        </row>
        <row r="4">
          <cell r="A4" t="str">
            <v>Egg</v>
          </cell>
          <cell r="B4" t="str">
            <v>Basic Food Items</v>
          </cell>
        </row>
        <row r="5">
          <cell r="A5" t="str">
            <v>Milk and products</v>
          </cell>
          <cell r="B5" t="str">
            <v>Basic Food Items</v>
          </cell>
        </row>
        <row r="6">
          <cell r="A6" t="str">
            <v>Oils and fats</v>
          </cell>
          <cell r="B6" t="str">
            <v>Basic Food Items</v>
          </cell>
        </row>
        <row r="7">
          <cell r="A7" t="str">
            <v>Fruits</v>
          </cell>
          <cell r="B7" t="str">
            <v>Basic Food Items</v>
          </cell>
        </row>
        <row r="8">
          <cell r="A8" t="str">
            <v>Vegetables</v>
          </cell>
          <cell r="B8" t="str">
            <v>Basic Food Items</v>
          </cell>
        </row>
        <row r="9">
          <cell r="A9" t="str">
            <v>Pulses and products</v>
          </cell>
          <cell r="B9" t="str">
            <v>Basic Food Items</v>
          </cell>
        </row>
        <row r="10">
          <cell r="A10" t="str">
            <v>Sugar and Confectionery</v>
          </cell>
          <cell r="B10" t="str">
            <v>Other Food and Intoxicants</v>
          </cell>
        </row>
        <row r="11">
          <cell r="A11" t="str">
            <v>Spices</v>
          </cell>
          <cell r="B11" t="str">
            <v>Basic Food Items</v>
          </cell>
        </row>
        <row r="12">
          <cell r="A12" t="str">
            <v>Non-alcoholic beverages</v>
          </cell>
          <cell r="B12" t="str">
            <v>Other Food and Intoxicants</v>
          </cell>
        </row>
        <row r="13">
          <cell r="A13" t="str">
            <v>Prepared meals, snacks, sweets, etc.</v>
          </cell>
          <cell r="B13" t="str">
            <v>Other Food and Intoxicants</v>
          </cell>
        </row>
        <row r="14">
          <cell r="A14" t="str">
            <v>Food and beverages</v>
          </cell>
          <cell r="B14" t="str">
            <v>Other Food and Intoxicants</v>
          </cell>
        </row>
        <row r="15">
          <cell r="A15" t="str">
            <v>Pan, tobacco, and intoxicants</v>
          </cell>
          <cell r="B15" t="str">
            <v>Other Food and Intoxicants</v>
          </cell>
        </row>
        <row r="16">
          <cell r="A16" t="str">
            <v>Clothing</v>
          </cell>
          <cell r="B16" t="str">
            <v>Clothing and footwear</v>
          </cell>
        </row>
        <row r="17">
          <cell r="A17" t="str">
            <v>Footwear</v>
          </cell>
          <cell r="B17" t="str">
            <v>Clothing and footwear</v>
          </cell>
        </row>
        <row r="18">
          <cell r="A18" t="str">
            <v>Clothing and footwear</v>
          </cell>
          <cell r="B18" t="str">
            <v>Clothing and footwear</v>
          </cell>
        </row>
        <row r="19">
          <cell r="A19" t="str">
            <v>Housing</v>
          </cell>
          <cell r="B19" t="str">
            <v>Housing and Utilities</v>
          </cell>
        </row>
        <row r="20">
          <cell r="A20" t="str">
            <v>Fuel and Light</v>
          </cell>
          <cell r="B20" t="str">
            <v>Housing and Utilities</v>
          </cell>
        </row>
        <row r="21">
          <cell r="A21" t="str">
            <v>Household goods and services</v>
          </cell>
          <cell r="B21" t="str">
            <v>Housing and Utilities</v>
          </cell>
        </row>
        <row r="22">
          <cell r="A22" t="str">
            <v>Health</v>
          </cell>
          <cell r="B22" t="str">
            <v>Services and Miscellaneous</v>
          </cell>
        </row>
        <row r="23">
          <cell r="A23" t="str">
            <v>Transport and communication</v>
          </cell>
          <cell r="B23" t="str">
            <v>Services and Miscellaneous</v>
          </cell>
        </row>
        <row r="24">
          <cell r="A24" t="str">
            <v>Recreation and amusement</v>
          </cell>
          <cell r="B24" t="str">
            <v>Services and Miscellaneous</v>
          </cell>
        </row>
        <row r="25">
          <cell r="A25" t="str">
            <v>Education</v>
          </cell>
          <cell r="B25" t="str">
            <v>Services and Miscellaneous</v>
          </cell>
        </row>
        <row r="26">
          <cell r="A26" t="str">
            <v>Personal care and effects</v>
          </cell>
          <cell r="B26" t="str">
            <v>Services and Miscellaneous</v>
          </cell>
        </row>
        <row r="27">
          <cell r="A27" t="str">
            <v>Miscellaneous</v>
          </cell>
          <cell r="B27" t="str">
            <v>Services and Miscellaneous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1585-3009-45D2-98F5-AA4C1C376FDC}">
  <dimension ref="A1:BE459"/>
  <sheetViews>
    <sheetView tabSelected="1" workbookViewId="0"/>
  </sheetViews>
  <sheetFormatPr defaultRowHeight="14.5" x14ac:dyDescent="0.35"/>
  <cols>
    <col min="1" max="1" width="17.90625" customWidth="1"/>
    <col min="2" max="2" width="7.08984375" bestFit="1" customWidth="1"/>
    <col min="3" max="3" width="10.36328125" bestFit="1" customWidth="1"/>
    <col min="4" max="4" width="21.08984375" bestFit="1" customWidth="1"/>
    <col min="5" max="5" width="18.36328125" bestFit="1" customWidth="1"/>
    <col min="6" max="6" width="12.08984375" bestFit="1" customWidth="1"/>
    <col min="7" max="7" width="18.54296875" bestFit="1" customWidth="1"/>
    <col min="8" max="8" width="13.6328125" bestFit="1" customWidth="1"/>
    <col min="9" max="9" width="8" customWidth="1"/>
    <col min="10" max="10" width="12.81640625" customWidth="1"/>
    <col min="11" max="11" width="20.26953125" customWidth="1"/>
    <col min="12" max="12" width="24.26953125" customWidth="1"/>
    <col min="13" max="13" width="12.08984375" bestFit="1" customWidth="1"/>
    <col min="14" max="14" width="24.54296875" customWidth="1"/>
    <col min="15" max="15" width="34.08984375" customWidth="1"/>
    <col min="16" max="16" width="20.453125" customWidth="1"/>
    <col min="17" max="17" width="27.6328125" customWidth="1"/>
    <col min="18" max="18" width="10.36328125" customWidth="1"/>
    <col min="19" max="19" width="11.26953125" customWidth="1"/>
    <col min="20" max="20" width="22.36328125" customWidth="1"/>
    <col min="21" max="21" width="10.08984375" bestFit="1" customWidth="1"/>
    <col min="22" max="22" width="14.81640625" customWidth="1"/>
    <col min="23" max="23" width="29.1796875" customWidth="1"/>
    <col min="24" max="24" width="8.81640625" bestFit="1" customWidth="1"/>
    <col min="25" max="25" width="28.90625" bestFit="1" customWidth="1"/>
    <col min="26" max="26" width="27" bestFit="1" customWidth="1"/>
    <col min="27" max="27" width="11.54296875" bestFit="1" customWidth="1"/>
    <col min="28" max="28" width="24.81640625" bestFit="1" customWidth="1"/>
    <col min="29" max="29" width="24.54296875" bestFit="1" customWidth="1"/>
    <col min="30" max="30" width="15.36328125" bestFit="1" customWidth="1"/>
    <col min="31" max="31" width="15.36328125" customWidth="1"/>
  </cols>
  <sheetData>
    <row r="1" spans="1:5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74</v>
      </c>
      <c r="P1" s="5" t="s">
        <v>15</v>
      </c>
      <c r="Q1" s="5" t="s">
        <v>73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F1" s="1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8"/>
    </row>
    <row r="2" spans="1:57" x14ac:dyDescent="0.35">
      <c r="A2" s="5" t="s">
        <v>72</v>
      </c>
      <c r="B2" s="5"/>
      <c r="C2" s="5"/>
      <c r="D2" s="5" t="s">
        <v>76</v>
      </c>
      <c r="E2" s="5" t="s">
        <v>76</v>
      </c>
      <c r="F2" s="5" t="s">
        <v>76</v>
      </c>
      <c r="G2" s="5" t="s">
        <v>76</v>
      </c>
      <c r="H2" s="5" t="s">
        <v>76</v>
      </c>
      <c r="I2" s="5" t="s">
        <v>76</v>
      </c>
      <c r="J2" s="5" t="s">
        <v>76</v>
      </c>
      <c r="K2" s="5" t="s">
        <v>76</v>
      </c>
      <c r="L2" s="5" t="s">
        <v>75</v>
      </c>
      <c r="M2" s="5" t="s">
        <v>76</v>
      </c>
      <c r="N2" s="5" t="s">
        <v>75</v>
      </c>
      <c r="O2" s="5" t="s">
        <v>75</v>
      </c>
      <c r="P2" s="5" t="s">
        <v>75</v>
      </c>
      <c r="Q2" s="5" t="s">
        <v>75</v>
      </c>
      <c r="R2" s="5" t="s">
        <v>19</v>
      </c>
      <c r="S2" s="5" t="s">
        <v>19</v>
      </c>
      <c r="T2" s="5" t="s">
        <v>19</v>
      </c>
      <c r="U2" s="5" t="s">
        <v>77</v>
      </c>
      <c r="V2" s="5" t="s">
        <v>77</v>
      </c>
      <c r="W2" s="5" t="s">
        <v>77</v>
      </c>
      <c r="X2" s="5" t="s">
        <v>78</v>
      </c>
      <c r="Y2" s="5" t="s">
        <v>78</v>
      </c>
      <c r="Z2" s="5" t="s">
        <v>78</v>
      </c>
      <c r="AA2" s="5" t="s">
        <v>78</v>
      </c>
      <c r="AB2" s="5" t="s">
        <v>78</v>
      </c>
      <c r="AC2" s="5" t="s">
        <v>78</v>
      </c>
      <c r="AD2" s="5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</row>
    <row r="3" spans="1:57" x14ac:dyDescent="0.35">
      <c r="A3" s="5" t="s">
        <v>30</v>
      </c>
      <c r="B3" s="5">
        <v>2013</v>
      </c>
      <c r="C3" s="5" t="s">
        <v>31</v>
      </c>
      <c r="D3" s="11">
        <v>107.5</v>
      </c>
      <c r="E3" s="5">
        <v>106.3</v>
      </c>
      <c r="F3" s="5">
        <v>108.1</v>
      </c>
      <c r="G3" s="5">
        <v>104.9</v>
      </c>
      <c r="H3" s="5">
        <v>106.1</v>
      </c>
      <c r="I3" s="5">
        <v>103.9</v>
      </c>
      <c r="J3" s="5">
        <v>101.9</v>
      </c>
      <c r="K3" s="5">
        <v>106.1</v>
      </c>
      <c r="L3" s="5">
        <v>106.8</v>
      </c>
      <c r="M3" s="5">
        <v>103.1</v>
      </c>
      <c r="N3" s="5">
        <v>104.8</v>
      </c>
      <c r="O3" s="5">
        <v>106.7</v>
      </c>
      <c r="P3" s="6">
        <v>105.5</v>
      </c>
      <c r="Q3" s="5">
        <v>105.1</v>
      </c>
      <c r="R3" s="5">
        <v>106.5</v>
      </c>
      <c r="S3" s="5">
        <v>105.8</v>
      </c>
      <c r="T3" s="5">
        <v>106.4</v>
      </c>
      <c r="U3" s="5" t="s">
        <v>32</v>
      </c>
      <c r="V3" s="5">
        <v>105.5</v>
      </c>
      <c r="W3" s="5">
        <v>104.8</v>
      </c>
      <c r="X3" s="5">
        <v>104</v>
      </c>
      <c r="Y3" s="5">
        <v>103.3</v>
      </c>
      <c r="Z3" s="5">
        <v>103.4</v>
      </c>
      <c r="AA3" s="5">
        <v>103.8</v>
      </c>
      <c r="AB3" s="5">
        <v>104.7</v>
      </c>
      <c r="AC3" s="5">
        <v>104</v>
      </c>
      <c r="AD3" s="5">
        <v>105.1</v>
      </c>
    </row>
    <row r="4" spans="1:57" x14ac:dyDescent="0.35">
      <c r="A4" s="5" t="s">
        <v>33</v>
      </c>
      <c r="B4" s="5">
        <v>2013</v>
      </c>
      <c r="C4" s="5" t="s">
        <v>31</v>
      </c>
      <c r="D4" s="11">
        <v>110.5</v>
      </c>
      <c r="E4" s="5">
        <v>109.1</v>
      </c>
      <c r="F4" s="5">
        <v>113</v>
      </c>
      <c r="G4" s="5">
        <v>103.6</v>
      </c>
      <c r="H4" s="5">
        <v>103.4</v>
      </c>
      <c r="I4" s="5">
        <v>102.3</v>
      </c>
      <c r="J4" s="5">
        <v>102.9</v>
      </c>
      <c r="K4" s="5">
        <v>105.8</v>
      </c>
      <c r="L4" s="5">
        <v>105.1</v>
      </c>
      <c r="M4" s="5">
        <v>101.8</v>
      </c>
      <c r="N4" s="5">
        <v>105.1</v>
      </c>
      <c r="O4" s="5">
        <v>107.9</v>
      </c>
      <c r="P4" s="5">
        <v>105.9</v>
      </c>
      <c r="Q4" s="5">
        <v>105.2</v>
      </c>
      <c r="R4" s="5">
        <v>105.9</v>
      </c>
      <c r="S4" s="5">
        <v>105</v>
      </c>
      <c r="T4" s="5">
        <v>105.8</v>
      </c>
      <c r="U4" s="5">
        <v>100.3</v>
      </c>
      <c r="V4" s="5">
        <v>105.4</v>
      </c>
      <c r="W4" s="5">
        <v>104.8</v>
      </c>
      <c r="X4" s="5">
        <v>104.1</v>
      </c>
      <c r="Y4" s="5">
        <v>103.2</v>
      </c>
      <c r="Z4" s="5">
        <v>102.9</v>
      </c>
      <c r="AA4" s="5">
        <v>103.5</v>
      </c>
      <c r="AB4" s="5">
        <v>104.3</v>
      </c>
      <c r="AC4" s="5">
        <v>103.7</v>
      </c>
      <c r="AD4" s="5">
        <v>104</v>
      </c>
    </row>
    <row r="5" spans="1:57" x14ac:dyDescent="0.35">
      <c r="A5" s="5" t="s">
        <v>34</v>
      </c>
      <c r="B5" s="5">
        <v>2013</v>
      </c>
      <c r="C5" s="5" t="s">
        <v>31</v>
      </c>
      <c r="D5" s="11">
        <v>108.4</v>
      </c>
      <c r="E5" s="5">
        <v>107.3</v>
      </c>
      <c r="F5" s="5">
        <v>110</v>
      </c>
      <c r="G5" s="5">
        <v>104.4</v>
      </c>
      <c r="H5" s="5">
        <v>105.1</v>
      </c>
      <c r="I5" s="5">
        <v>103.2</v>
      </c>
      <c r="J5" s="5">
        <v>102.2</v>
      </c>
      <c r="K5" s="5">
        <v>106</v>
      </c>
      <c r="L5" s="5">
        <v>106.2</v>
      </c>
      <c r="M5" s="5">
        <v>102.7</v>
      </c>
      <c r="N5" s="5">
        <v>104.9</v>
      </c>
      <c r="O5" s="5">
        <v>107.3</v>
      </c>
      <c r="P5" s="5">
        <v>105.6</v>
      </c>
      <c r="Q5" s="5">
        <v>105.1</v>
      </c>
      <c r="R5" s="5">
        <v>106.3</v>
      </c>
      <c r="S5" s="5">
        <v>105.5</v>
      </c>
      <c r="T5" s="5">
        <v>106.2</v>
      </c>
      <c r="U5" s="5">
        <v>100.3</v>
      </c>
      <c r="V5" s="5">
        <v>105.5</v>
      </c>
      <c r="W5" s="5">
        <v>104.8</v>
      </c>
      <c r="X5" s="5">
        <v>104</v>
      </c>
      <c r="Y5" s="5">
        <v>103.2</v>
      </c>
      <c r="Z5" s="5">
        <v>103.1</v>
      </c>
      <c r="AA5" s="5">
        <v>103.6</v>
      </c>
      <c r="AB5" s="5">
        <v>104.5</v>
      </c>
      <c r="AC5" s="5">
        <v>103.9</v>
      </c>
      <c r="AD5" s="5">
        <v>104.6</v>
      </c>
    </row>
    <row r="6" spans="1:57" x14ac:dyDescent="0.35">
      <c r="A6" s="5" t="s">
        <v>30</v>
      </c>
      <c r="B6" s="5">
        <v>2013</v>
      </c>
      <c r="C6" s="5" t="s">
        <v>35</v>
      </c>
      <c r="D6" s="11">
        <v>109.2</v>
      </c>
      <c r="E6" s="5">
        <v>108.7</v>
      </c>
      <c r="F6" s="5">
        <v>110.2</v>
      </c>
      <c r="G6" s="5">
        <v>105.4</v>
      </c>
      <c r="H6" s="5">
        <v>106.7</v>
      </c>
      <c r="I6" s="5">
        <v>104</v>
      </c>
      <c r="J6" s="5">
        <v>102.4</v>
      </c>
      <c r="K6" s="5">
        <v>105.9</v>
      </c>
      <c r="L6" s="5">
        <v>105.7</v>
      </c>
      <c r="M6" s="5">
        <v>103.1</v>
      </c>
      <c r="N6" s="5">
        <v>105.1</v>
      </c>
      <c r="O6" s="5">
        <v>107.7</v>
      </c>
      <c r="P6" s="5">
        <v>106.3</v>
      </c>
      <c r="Q6" s="5">
        <v>105.6</v>
      </c>
      <c r="R6" s="5">
        <v>107.1</v>
      </c>
      <c r="S6" s="5">
        <v>106.3</v>
      </c>
      <c r="T6" s="5">
        <v>107</v>
      </c>
      <c r="U6" s="5" t="s">
        <v>32</v>
      </c>
      <c r="V6" s="5">
        <v>106.2</v>
      </c>
      <c r="W6" s="5">
        <v>105.2</v>
      </c>
      <c r="X6" s="5">
        <v>104.4</v>
      </c>
      <c r="Y6" s="5">
        <v>103.9</v>
      </c>
      <c r="Z6" s="5">
        <v>104</v>
      </c>
      <c r="AA6" s="5">
        <v>104.1</v>
      </c>
      <c r="AB6" s="5">
        <v>104.6</v>
      </c>
      <c r="AC6" s="5">
        <v>104.4</v>
      </c>
      <c r="AD6" s="5">
        <v>105.8</v>
      </c>
    </row>
    <row r="7" spans="1:57" x14ac:dyDescent="0.35">
      <c r="A7" s="5" t="s">
        <v>33</v>
      </c>
      <c r="B7" s="5">
        <v>2013</v>
      </c>
      <c r="C7" s="5" t="s">
        <v>35</v>
      </c>
      <c r="D7" s="11">
        <v>112.9</v>
      </c>
      <c r="E7" s="5">
        <v>112.9</v>
      </c>
      <c r="F7" s="5">
        <v>116.9</v>
      </c>
      <c r="G7" s="5">
        <v>104</v>
      </c>
      <c r="H7" s="5">
        <v>103.5</v>
      </c>
      <c r="I7" s="5">
        <v>103.1</v>
      </c>
      <c r="J7" s="5">
        <v>104.9</v>
      </c>
      <c r="K7" s="5">
        <v>104.1</v>
      </c>
      <c r="L7" s="5">
        <v>103.8</v>
      </c>
      <c r="M7" s="5">
        <v>102.3</v>
      </c>
      <c r="N7" s="5">
        <v>106</v>
      </c>
      <c r="O7" s="5">
        <v>109</v>
      </c>
      <c r="P7" s="5">
        <v>107.2</v>
      </c>
      <c r="Q7" s="5">
        <v>106</v>
      </c>
      <c r="R7" s="5">
        <v>106.6</v>
      </c>
      <c r="S7" s="5">
        <v>105.5</v>
      </c>
      <c r="T7" s="5">
        <v>106.4</v>
      </c>
      <c r="U7" s="5">
        <v>100.4</v>
      </c>
      <c r="V7" s="5">
        <v>105.7</v>
      </c>
      <c r="W7" s="5">
        <v>105.2</v>
      </c>
      <c r="X7" s="5">
        <v>104.7</v>
      </c>
      <c r="Y7" s="5">
        <v>104.4</v>
      </c>
      <c r="Z7" s="5">
        <v>103.3</v>
      </c>
      <c r="AA7" s="5">
        <v>103.7</v>
      </c>
      <c r="AB7" s="5">
        <v>104.3</v>
      </c>
      <c r="AC7" s="5">
        <v>104.3</v>
      </c>
      <c r="AD7" s="5">
        <v>104.7</v>
      </c>
    </row>
    <row r="8" spans="1:57" x14ac:dyDescent="0.35">
      <c r="A8" s="5" t="s">
        <v>34</v>
      </c>
      <c r="B8" s="5">
        <v>2013</v>
      </c>
      <c r="C8" s="5" t="s">
        <v>35</v>
      </c>
      <c r="D8" s="11">
        <v>110.4</v>
      </c>
      <c r="E8" s="5">
        <v>110.2</v>
      </c>
      <c r="F8" s="5">
        <v>112.8</v>
      </c>
      <c r="G8" s="5">
        <v>104.9</v>
      </c>
      <c r="H8" s="5">
        <v>105.5</v>
      </c>
      <c r="I8" s="5">
        <v>103.6</v>
      </c>
      <c r="J8" s="5">
        <v>103.2</v>
      </c>
      <c r="K8" s="5">
        <v>105.3</v>
      </c>
      <c r="L8" s="5">
        <v>105.1</v>
      </c>
      <c r="M8" s="5">
        <v>102.8</v>
      </c>
      <c r="N8" s="5">
        <v>105.5</v>
      </c>
      <c r="O8" s="5">
        <v>108.3</v>
      </c>
      <c r="P8" s="5">
        <v>106.6</v>
      </c>
      <c r="Q8" s="5">
        <v>105.7</v>
      </c>
      <c r="R8" s="5">
        <v>106.9</v>
      </c>
      <c r="S8" s="5">
        <v>106</v>
      </c>
      <c r="T8" s="5">
        <v>106.8</v>
      </c>
      <c r="U8" s="5">
        <v>100.4</v>
      </c>
      <c r="V8" s="5">
        <v>106</v>
      </c>
      <c r="W8" s="5">
        <v>105.2</v>
      </c>
      <c r="X8" s="5">
        <v>104.5</v>
      </c>
      <c r="Y8" s="5">
        <v>104.2</v>
      </c>
      <c r="Z8" s="5">
        <v>103.6</v>
      </c>
      <c r="AA8" s="5">
        <v>103.9</v>
      </c>
      <c r="AB8" s="5">
        <v>104.5</v>
      </c>
      <c r="AC8" s="5">
        <v>104.4</v>
      </c>
      <c r="AD8" s="5">
        <v>105.3</v>
      </c>
    </row>
    <row r="9" spans="1:57" x14ac:dyDescent="0.35">
      <c r="A9" s="5" t="s">
        <v>30</v>
      </c>
      <c r="B9" s="5">
        <v>2013</v>
      </c>
      <c r="C9" s="5" t="s">
        <v>36</v>
      </c>
      <c r="D9" s="11">
        <v>110.2</v>
      </c>
      <c r="E9" s="5">
        <v>108.8</v>
      </c>
      <c r="F9" s="5">
        <v>109.9</v>
      </c>
      <c r="G9" s="5">
        <v>105.6</v>
      </c>
      <c r="H9" s="5">
        <v>106.2</v>
      </c>
      <c r="I9" s="5">
        <v>105.7</v>
      </c>
      <c r="J9" s="5">
        <v>101.4</v>
      </c>
      <c r="K9" s="5">
        <v>105.7</v>
      </c>
      <c r="L9" s="5">
        <v>105</v>
      </c>
      <c r="M9" s="5">
        <v>103.3</v>
      </c>
      <c r="N9" s="5">
        <v>105.6</v>
      </c>
      <c r="O9" s="5">
        <v>108.2</v>
      </c>
      <c r="P9" s="5">
        <v>106.6</v>
      </c>
      <c r="Q9" s="5">
        <v>106.5</v>
      </c>
      <c r="R9" s="5">
        <v>107.6</v>
      </c>
      <c r="S9" s="5">
        <v>106.8</v>
      </c>
      <c r="T9" s="5">
        <v>107.5</v>
      </c>
      <c r="U9" s="5" t="s">
        <v>32</v>
      </c>
      <c r="V9" s="5">
        <v>106.1</v>
      </c>
      <c r="W9" s="5">
        <v>105.6</v>
      </c>
      <c r="X9" s="5">
        <v>104.7</v>
      </c>
      <c r="Y9" s="5">
        <v>104.6</v>
      </c>
      <c r="Z9" s="5">
        <v>104</v>
      </c>
      <c r="AA9" s="5">
        <v>104.3</v>
      </c>
      <c r="AB9" s="5">
        <v>104.3</v>
      </c>
      <c r="AC9" s="5">
        <v>104.6</v>
      </c>
      <c r="AD9" s="5">
        <v>106</v>
      </c>
    </row>
    <row r="10" spans="1:57" x14ac:dyDescent="0.35">
      <c r="A10" s="5" t="s">
        <v>33</v>
      </c>
      <c r="B10" s="5">
        <v>2013</v>
      </c>
      <c r="C10" s="5" t="s">
        <v>36</v>
      </c>
      <c r="D10" s="11">
        <v>113.9</v>
      </c>
      <c r="E10" s="5">
        <v>111.4</v>
      </c>
      <c r="F10" s="5">
        <v>113.2</v>
      </c>
      <c r="G10" s="5">
        <v>104.3</v>
      </c>
      <c r="H10" s="5">
        <v>102.7</v>
      </c>
      <c r="I10" s="5">
        <v>104.9</v>
      </c>
      <c r="J10" s="5">
        <v>103.8</v>
      </c>
      <c r="K10" s="5">
        <v>103.5</v>
      </c>
      <c r="L10" s="5">
        <v>102.6</v>
      </c>
      <c r="M10" s="5">
        <v>102.4</v>
      </c>
      <c r="N10" s="5">
        <v>107</v>
      </c>
      <c r="O10" s="5">
        <v>109.8</v>
      </c>
      <c r="P10" s="5">
        <v>107.3</v>
      </c>
      <c r="Q10" s="5">
        <v>106.8</v>
      </c>
      <c r="R10" s="5">
        <v>107.2</v>
      </c>
      <c r="S10" s="5">
        <v>106</v>
      </c>
      <c r="T10" s="5">
        <v>107</v>
      </c>
      <c r="U10" s="5">
        <v>100.4</v>
      </c>
      <c r="V10" s="5">
        <v>106</v>
      </c>
      <c r="W10" s="5">
        <v>105.7</v>
      </c>
      <c r="X10" s="5">
        <v>105.2</v>
      </c>
      <c r="Y10" s="5">
        <v>105.5</v>
      </c>
      <c r="Z10" s="5">
        <v>103.5</v>
      </c>
      <c r="AA10" s="5">
        <v>103.8</v>
      </c>
      <c r="AB10" s="5">
        <v>104.2</v>
      </c>
      <c r="AC10" s="5">
        <v>104.9</v>
      </c>
      <c r="AD10" s="5">
        <v>105</v>
      </c>
    </row>
    <row r="11" spans="1:57" x14ac:dyDescent="0.35">
      <c r="A11" s="5" t="s">
        <v>34</v>
      </c>
      <c r="B11" s="5">
        <v>2013</v>
      </c>
      <c r="C11" s="5" t="s">
        <v>36</v>
      </c>
      <c r="D11" s="11">
        <v>111.4</v>
      </c>
      <c r="E11" s="5">
        <v>109.7</v>
      </c>
      <c r="F11" s="5">
        <v>111.2</v>
      </c>
      <c r="G11" s="5">
        <v>105.1</v>
      </c>
      <c r="H11" s="5">
        <v>104.9</v>
      </c>
      <c r="I11" s="5">
        <v>105.3</v>
      </c>
      <c r="J11" s="5">
        <v>102.2</v>
      </c>
      <c r="K11" s="5">
        <v>105</v>
      </c>
      <c r="L11" s="5">
        <v>104.2</v>
      </c>
      <c r="M11" s="5">
        <v>103</v>
      </c>
      <c r="N11" s="5">
        <v>106.2</v>
      </c>
      <c r="O11" s="5">
        <v>108.9</v>
      </c>
      <c r="P11" s="5">
        <v>106.9</v>
      </c>
      <c r="Q11" s="5">
        <v>106.6</v>
      </c>
      <c r="R11" s="5">
        <v>107.4</v>
      </c>
      <c r="S11" s="5">
        <v>106.5</v>
      </c>
      <c r="T11" s="5">
        <v>107.3</v>
      </c>
      <c r="U11" s="5">
        <v>100.4</v>
      </c>
      <c r="V11" s="5">
        <v>106.1</v>
      </c>
      <c r="W11" s="5">
        <v>105.6</v>
      </c>
      <c r="X11" s="5">
        <v>104.9</v>
      </c>
      <c r="Y11" s="5">
        <v>105.1</v>
      </c>
      <c r="Z11" s="5">
        <v>103.7</v>
      </c>
      <c r="AA11" s="5">
        <v>104</v>
      </c>
      <c r="AB11" s="5">
        <v>104.3</v>
      </c>
      <c r="AC11" s="5">
        <v>104.7</v>
      </c>
      <c r="AD11" s="5">
        <v>105.5</v>
      </c>
    </row>
    <row r="12" spans="1:57" x14ac:dyDescent="0.35">
      <c r="A12" s="5" t="s">
        <v>30</v>
      </c>
      <c r="B12" s="5">
        <v>2013</v>
      </c>
      <c r="C12" s="5" t="s">
        <v>37</v>
      </c>
      <c r="D12" s="11">
        <v>110.2</v>
      </c>
      <c r="E12" s="5">
        <v>109.5</v>
      </c>
      <c r="F12" s="5">
        <v>106.9</v>
      </c>
      <c r="G12" s="5">
        <v>106.3</v>
      </c>
      <c r="H12" s="5">
        <v>105.7</v>
      </c>
      <c r="I12" s="5">
        <v>108.3</v>
      </c>
      <c r="J12" s="5">
        <v>103.4</v>
      </c>
      <c r="K12" s="5">
        <v>105.7</v>
      </c>
      <c r="L12" s="5">
        <v>104.2</v>
      </c>
      <c r="M12" s="5">
        <v>103.2</v>
      </c>
      <c r="N12" s="5">
        <v>106.5</v>
      </c>
      <c r="O12" s="5">
        <v>108.8</v>
      </c>
      <c r="P12" s="5">
        <v>107.1</v>
      </c>
      <c r="Q12" s="5">
        <v>107.1</v>
      </c>
      <c r="R12" s="5">
        <v>108.1</v>
      </c>
      <c r="S12" s="5">
        <v>107.4</v>
      </c>
      <c r="T12" s="5">
        <v>108</v>
      </c>
      <c r="U12" s="5" t="s">
        <v>32</v>
      </c>
      <c r="V12" s="5">
        <v>106.5</v>
      </c>
      <c r="W12" s="5">
        <v>106.1</v>
      </c>
      <c r="X12" s="5">
        <v>105.1</v>
      </c>
      <c r="Y12" s="5">
        <v>104.4</v>
      </c>
      <c r="Z12" s="5">
        <v>104.5</v>
      </c>
      <c r="AA12" s="5">
        <v>104.8</v>
      </c>
      <c r="AB12" s="5">
        <v>102.7</v>
      </c>
      <c r="AC12" s="5">
        <v>104.6</v>
      </c>
      <c r="AD12" s="5">
        <v>106.4</v>
      </c>
    </row>
    <row r="13" spans="1:57" x14ac:dyDescent="0.35">
      <c r="A13" s="5" t="s">
        <v>33</v>
      </c>
      <c r="B13" s="5">
        <v>2013</v>
      </c>
      <c r="C13" s="5" t="s">
        <v>37</v>
      </c>
      <c r="D13" s="11">
        <v>114.6</v>
      </c>
      <c r="E13" s="5">
        <v>113.4</v>
      </c>
      <c r="F13" s="5">
        <v>106</v>
      </c>
      <c r="G13" s="5">
        <v>104.7</v>
      </c>
      <c r="H13" s="5">
        <v>102.1</v>
      </c>
      <c r="I13" s="5">
        <v>109.5</v>
      </c>
      <c r="J13" s="5">
        <v>109.7</v>
      </c>
      <c r="K13" s="5">
        <v>104.6</v>
      </c>
      <c r="L13" s="5">
        <v>102</v>
      </c>
      <c r="M13" s="5">
        <v>103.5</v>
      </c>
      <c r="N13" s="5">
        <v>108.2</v>
      </c>
      <c r="O13" s="5">
        <v>110.6</v>
      </c>
      <c r="P13" s="5">
        <v>108.8</v>
      </c>
      <c r="Q13" s="5">
        <v>108.5</v>
      </c>
      <c r="R13" s="5">
        <v>107.9</v>
      </c>
      <c r="S13" s="5">
        <v>106.4</v>
      </c>
      <c r="T13" s="5">
        <v>107.7</v>
      </c>
      <c r="U13" s="5">
        <v>100.5</v>
      </c>
      <c r="V13" s="5">
        <v>106.4</v>
      </c>
      <c r="W13" s="5">
        <v>106.5</v>
      </c>
      <c r="X13" s="5">
        <v>105.7</v>
      </c>
      <c r="Y13" s="5">
        <v>105</v>
      </c>
      <c r="Z13" s="5">
        <v>104</v>
      </c>
      <c r="AA13" s="5">
        <v>105.2</v>
      </c>
      <c r="AB13" s="5">
        <v>103.2</v>
      </c>
      <c r="AC13" s="5">
        <v>105.1</v>
      </c>
      <c r="AD13" s="5">
        <v>105.7</v>
      </c>
    </row>
    <row r="14" spans="1:57" x14ac:dyDescent="0.35">
      <c r="A14" s="5" t="s">
        <v>34</v>
      </c>
      <c r="B14" s="5">
        <v>2013</v>
      </c>
      <c r="C14" s="5" t="s">
        <v>37</v>
      </c>
      <c r="D14" s="11">
        <v>111.6</v>
      </c>
      <c r="E14" s="5">
        <v>110.9</v>
      </c>
      <c r="F14" s="5">
        <v>106.6</v>
      </c>
      <c r="G14" s="5">
        <v>105.7</v>
      </c>
      <c r="H14" s="5">
        <v>104.4</v>
      </c>
      <c r="I14" s="5">
        <v>108.9</v>
      </c>
      <c r="J14" s="5">
        <v>105.5</v>
      </c>
      <c r="K14" s="5">
        <v>105.3</v>
      </c>
      <c r="L14" s="5">
        <v>103.5</v>
      </c>
      <c r="M14" s="5">
        <v>103.3</v>
      </c>
      <c r="N14" s="5">
        <v>107.2</v>
      </c>
      <c r="O14" s="5">
        <v>109.6</v>
      </c>
      <c r="P14" s="5">
        <v>107.7</v>
      </c>
      <c r="Q14" s="5">
        <v>107.5</v>
      </c>
      <c r="R14" s="5">
        <v>108</v>
      </c>
      <c r="S14" s="5">
        <v>107</v>
      </c>
      <c r="T14" s="5">
        <v>107.9</v>
      </c>
      <c r="U14" s="5">
        <v>100.5</v>
      </c>
      <c r="V14" s="5">
        <v>106.5</v>
      </c>
      <c r="W14" s="5">
        <v>106.3</v>
      </c>
      <c r="X14" s="5">
        <v>105.3</v>
      </c>
      <c r="Y14" s="5">
        <v>104.7</v>
      </c>
      <c r="Z14" s="5">
        <v>104.2</v>
      </c>
      <c r="AA14" s="5">
        <v>105</v>
      </c>
      <c r="AB14" s="5">
        <v>102.9</v>
      </c>
      <c r="AC14" s="5">
        <v>104.8</v>
      </c>
      <c r="AD14" s="5">
        <v>106.1</v>
      </c>
    </row>
    <row r="15" spans="1:57" x14ac:dyDescent="0.35">
      <c r="A15" s="5" t="s">
        <v>30</v>
      </c>
      <c r="B15" s="5">
        <v>2013</v>
      </c>
      <c r="C15" s="5" t="s">
        <v>38</v>
      </c>
      <c r="D15" s="11">
        <v>110.9</v>
      </c>
      <c r="E15" s="5">
        <v>109.8</v>
      </c>
      <c r="F15" s="5">
        <v>105.9</v>
      </c>
      <c r="G15" s="5">
        <v>107.5</v>
      </c>
      <c r="H15" s="5">
        <v>105.3</v>
      </c>
      <c r="I15" s="5">
        <v>108.1</v>
      </c>
      <c r="J15" s="5">
        <v>107.3</v>
      </c>
      <c r="K15" s="5">
        <v>106.1</v>
      </c>
      <c r="L15" s="5">
        <v>103.7</v>
      </c>
      <c r="M15" s="5">
        <v>104</v>
      </c>
      <c r="N15" s="5">
        <v>107.4</v>
      </c>
      <c r="O15" s="5">
        <v>109.9</v>
      </c>
      <c r="P15" s="5">
        <v>108.1</v>
      </c>
      <c r="Q15" s="5">
        <v>108.1</v>
      </c>
      <c r="R15" s="5">
        <v>108.8</v>
      </c>
      <c r="S15" s="5">
        <v>107.9</v>
      </c>
      <c r="T15" s="5">
        <v>108.6</v>
      </c>
      <c r="U15" s="5" t="s">
        <v>32</v>
      </c>
      <c r="V15" s="5">
        <v>107.5</v>
      </c>
      <c r="W15" s="5">
        <v>106.8</v>
      </c>
      <c r="X15" s="5">
        <v>105.7</v>
      </c>
      <c r="Y15" s="5">
        <v>104.1</v>
      </c>
      <c r="Z15" s="5">
        <v>105</v>
      </c>
      <c r="AA15" s="5">
        <v>105.5</v>
      </c>
      <c r="AB15" s="5">
        <v>102.1</v>
      </c>
      <c r="AC15" s="5">
        <v>104.8</v>
      </c>
      <c r="AD15" s="5">
        <v>107.2</v>
      </c>
    </row>
    <row r="16" spans="1:57" x14ac:dyDescent="0.35">
      <c r="A16" s="5" t="s">
        <v>33</v>
      </c>
      <c r="B16" s="5">
        <v>2013</v>
      </c>
      <c r="C16" s="5" t="s">
        <v>38</v>
      </c>
      <c r="D16" s="11">
        <v>115.4</v>
      </c>
      <c r="E16" s="5">
        <v>114.2</v>
      </c>
      <c r="F16" s="5">
        <v>102.7</v>
      </c>
      <c r="G16" s="5">
        <v>105.5</v>
      </c>
      <c r="H16" s="5">
        <v>101.5</v>
      </c>
      <c r="I16" s="5">
        <v>110.6</v>
      </c>
      <c r="J16" s="5">
        <v>123.7</v>
      </c>
      <c r="K16" s="5">
        <v>105.2</v>
      </c>
      <c r="L16" s="5">
        <v>101.9</v>
      </c>
      <c r="M16" s="5">
        <v>105</v>
      </c>
      <c r="N16" s="5">
        <v>109.1</v>
      </c>
      <c r="O16" s="5">
        <v>111.3</v>
      </c>
      <c r="P16" s="5">
        <v>111.1</v>
      </c>
      <c r="Q16" s="5">
        <v>109.8</v>
      </c>
      <c r="R16" s="5">
        <v>108.5</v>
      </c>
      <c r="S16" s="5">
        <v>106.7</v>
      </c>
      <c r="T16" s="5">
        <v>108.3</v>
      </c>
      <c r="U16" s="5">
        <v>100.5</v>
      </c>
      <c r="V16" s="5">
        <v>107.2</v>
      </c>
      <c r="W16" s="5">
        <v>107.1</v>
      </c>
      <c r="X16" s="5">
        <v>106.2</v>
      </c>
      <c r="Y16" s="5">
        <v>103.9</v>
      </c>
      <c r="Z16" s="5">
        <v>104.6</v>
      </c>
      <c r="AA16" s="5">
        <v>105.7</v>
      </c>
      <c r="AB16" s="5">
        <v>102.6</v>
      </c>
      <c r="AC16" s="5">
        <v>104.9</v>
      </c>
      <c r="AD16" s="5">
        <v>106.6</v>
      </c>
    </row>
    <row r="17" spans="1:30" x14ac:dyDescent="0.35">
      <c r="A17" s="5" t="s">
        <v>34</v>
      </c>
      <c r="B17" s="5">
        <v>2013</v>
      </c>
      <c r="C17" s="5" t="s">
        <v>38</v>
      </c>
      <c r="D17" s="11">
        <v>112.3</v>
      </c>
      <c r="E17" s="5">
        <v>111.3</v>
      </c>
      <c r="F17" s="5">
        <v>104.7</v>
      </c>
      <c r="G17" s="5">
        <v>106.8</v>
      </c>
      <c r="H17" s="5">
        <v>103.9</v>
      </c>
      <c r="I17" s="5">
        <v>109.3</v>
      </c>
      <c r="J17" s="5">
        <v>112.9</v>
      </c>
      <c r="K17" s="5">
        <v>105.8</v>
      </c>
      <c r="L17" s="5">
        <v>103.1</v>
      </c>
      <c r="M17" s="5">
        <v>104.3</v>
      </c>
      <c r="N17" s="5">
        <v>108.1</v>
      </c>
      <c r="O17" s="5">
        <v>110.5</v>
      </c>
      <c r="P17" s="5">
        <v>109.2</v>
      </c>
      <c r="Q17" s="5">
        <v>108.6</v>
      </c>
      <c r="R17" s="5">
        <v>108.7</v>
      </c>
      <c r="S17" s="5">
        <v>107.4</v>
      </c>
      <c r="T17" s="5">
        <v>108.5</v>
      </c>
      <c r="U17" s="5">
        <v>100.5</v>
      </c>
      <c r="V17" s="5">
        <v>107.4</v>
      </c>
      <c r="W17" s="5">
        <v>106.9</v>
      </c>
      <c r="X17" s="5">
        <v>105.9</v>
      </c>
      <c r="Y17" s="5">
        <v>104</v>
      </c>
      <c r="Z17" s="5">
        <v>104.8</v>
      </c>
      <c r="AA17" s="5">
        <v>105.6</v>
      </c>
      <c r="AB17" s="5">
        <v>102.3</v>
      </c>
      <c r="AC17" s="5">
        <v>104.8</v>
      </c>
      <c r="AD17" s="5">
        <v>106.9</v>
      </c>
    </row>
    <row r="18" spans="1:30" x14ac:dyDescent="0.35">
      <c r="A18" s="5" t="s">
        <v>30</v>
      </c>
      <c r="B18" s="5">
        <v>2013</v>
      </c>
      <c r="C18" s="5" t="s">
        <v>39</v>
      </c>
      <c r="D18" s="11">
        <v>112.3</v>
      </c>
      <c r="E18" s="5">
        <v>112.1</v>
      </c>
      <c r="F18" s="5">
        <v>108.1</v>
      </c>
      <c r="G18" s="5">
        <v>108.3</v>
      </c>
      <c r="H18" s="5">
        <v>105.9</v>
      </c>
      <c r="I18" s="5">
        <v>109.2</v>
      </c>
      <c r="J18" s="5">
        <v>118</v>
      </c>
      <c r="K18" s="5">
        <v>106.8</v>
      </c>
      <c r="L18" s="5">
        <v>104.1</v>
      </c>
      <c r="M18" s="5">
        <v>105.4</v>
      </c>
      <c r="N18" s="5">
        <v>108.2</v>
      </c>
      <c r="O18" s="5">
        <v>111</v>
      </c>
      <c r="P18" s="5">
        <v>110.6</v>
      </c>
      <c r="Q18" s="5">
        <v>109</v>
      </c>
      <c r="R18" s="5">
        <v>109.7</v>
      </c>
      <c r="S18" s="5">
        <v>108.8</v>
      </c>
      <c r="T18" s="5">
        <v>109.5</v>
      </c>
      <c r="U18" s="5" t="s">
        <v>32</v>
      </c>
      <c r="V18" s="5">
        <v>108.5</v>
      </c>
      <c r="W18" s="5">
        <v>107.5</v>
      </c>
      <c r="X18" s="5">
        <v>106.3</v>
      </c>
      <c r="Y18" s="5">
        <v>105</v>
      </c>
      <c r="Z18" s="5">
        <v>105.6</v>
      </c>
      <c r="AA18" s="5">
        <v>106.5</v>
      </c>
      <c r="AB18" s="5">
        <v>102.5</v>
      </c>
      <c r="AC18" s="5">
        <v>105.5</v>
      </c>
      <c r="AD18" s="5">
        <v>108.9</v>
      </c>
    </row>
    <row r="19" spans="1:30" x14ac:dyDescent="0.35">
      <c r="A19" s="5" t="s">
        <v>33</v>
      </c>
      <c r="B19" s="5">
        <v>2013</v>
      </c>
      <c r="C19" s="5" t="s">
        <v>39</v>
      </c>
      <c r="D19" s="11">
        <v>117</v>
      </c>
      <c r="E19" s="5">
        <v>120.1</v>
      </c>
      <c r="F19" s="5">
        <v>112.5</v>
      </c>
      <c r="G19" s="5">
        <v>107.3</v>
      </c>
      <c r="H19" s="5">
        <v>101.3</v>
      </c>
      <c r="I19" s="5">
        <v>112.4</v>
      </c>
      <c r="J19" s="5">
        <v>143.6</v>
      </c>
      <c r="K19" s="5">
        <v>105.4</v>
      </c>
      <c r="L19" s="5">
        <v>101.4</v>
      </c>
      <c r="M19" s="5">
        <v>106.4</v>
      </c>
      <c r="N19" s="5">
        <v>110</v>
      </c>
      <c r="O19" s="5">
        <v>112.2</v>
      </c>
      <c r="P19" s="5">
        <v>115</v>
      </c>
      <c r="Q19" s="5">
        <v>110.9</v>
      </c>
      <c r="R19" s="5">
        <v>109.2</v>
      </c>
      <c r="S19" s="5">
        <v>107.2</v>
      </c>
      <c r="T19" s="5">
        <v>108.9</v>
      </c>
      <c r="U19" s="5">
        <v>106.6</v>
      </c>
      <c r="V19" s="5">
        <v>108</v>
      </c>
      <c r="W19" s="5">
        <v>107.7</v>
      </c>
      <c r="X19" s="5">
        <v>106.5</v>
      </c>
      <c r="Y19" s="5">
        <v>105.2</v>
      </c>
      <c r="Z19" s="5">
        <v>105.2</v>
      </c>
      <c r="AA19" s="5">
        <v>108.1</v>
      </c>
      <c r="AB19" s="5">
        <v>103.3</v>
      </c>
      <c r="AC19" s="5">
        <v>106.1</v>
      </c>
      <c r="AD19" s="5">
        <v>109.7</v>
      </c>
    </row>
    <row r="20" spans="1:30" x14ac:dyDescent="0.35">
      <c r="A20" s="5" t="s">
        <v>34</v>
      </c>
      <c r="B20" s="5">
        <v>2013</v>
      </c>
      <c r="C20" s="5" t="s">
        <v>39</v>
      </c>
      <c r="D20" s="11">
        <v>113.8</v>
      </c>
      <c r="E20" s="5">
        <v>114.9</v>
      </c>
      <c r="F20" s="5">
        <v>109.8</v>
      </c>
      <c r="G20" s="5">
        <v>107.9</v>
      </c>
      <c r="H20" s="5">
        <v>104.2</v>
      </c>
      <c r="I20" s="5">
        <v>110.7</v>
      </c>
      <c r="J20" s="5">
        <v>126.7</v>
      </c>
      <c r="K20" s="5">
        <v>106.3</v>
      </c>
      <c r="L20" s="5">
        <v>103.2</v>
      </c>
      <c r="M20" s="5">
        <v>105.7</v>
      </c>
      <c r="N20" s="5">
        <v>109</v>
      </c>
      <c r="O20" s="5">
        <v>111.6</v>
      </c>
      <c r="P20" s="5">
        <v>112.2</v>
      </c>
      <c r="Q20" s="5">
        <v>109.5</v>
      </c>
      <c r="R20" s="5">
        <v>109.5</v>
      </c>
      <c r="S20" s="5">
        <v>108.1</v>
      </c>
      <c r="T20" s="5">
        <v>109.3</v>
      </c>
      <c r="U20" s="5">
        <v>106.6</v>
      </c>
      <c r="V20" s="5">
        <v>108.3</v>
      </c>
      <c r="W20" s="5">
        <v>107.6</v>
      </c>
      <c r="X20" s="5">
        <v>106.4</v>
      </c>
      <c r="Y20" s="5">
        <v>105.1</v>
      </c>
      <c r="Z20" s="5">
        <v>105.4</v>
      </c>
      <c r="AA20" s="5">
        <v>107.4</v>
      </c>
      <c r="AB20" s="5">
        <v>102.8</v>
      </c>
      <c r="AC20" s="5">
        <v>105.8</v>
      </c>
      <c r="AD20" s="5">
        <v>109.3</v>
      </c>
    </row>
    <row r="21" spans="1:30" x14ac:dyDescent="0.35">
      <c r="A21" s="5" t="s">
        <v>30</v>
      </c>
      <c r="B21" s="5">
        <v>2013</v>
      </c>
      <c r="C21" s="5" t="s">
        <v>40</v>
      </c>
      <c r="D21" s="11">
        <v>113.4</v>
      </c>
      <c r="E21" s="5">
        <v>114.9</v>
      </c>
      <c r="F21" s="5">
        <v>110.5</v>
      </c>
      <c r="G21" s="5">
        <v>109.3</v>
      </c>
      <c r="H21" s="5">
        <v>106.2</v>
      </c>
      <c r="I21" s="5">
        <v>110.3</v>
      </c>
      <c r="J21" s="5">
        <v>129.19999999999999</v>
      </c>
      <c r="K21" s="5">
        <v>107.1</v>
      </c>
      <c r="L21" s="5">
        <v>104.3</v>
      </c>
      <c r="M21" s="5">
        <v>106.4</v>
      </c>
      <c r="N21" s="5">
        <v>109.1</v>
      </c>
      <c r="O21" s="5">
        <v>112.1</v>
      </c>
      <c r="P21" s="5">
        <v>113.1</v>
      </c>
      <c r="Q21" s="5">
        <v>109.8</v>
      </c>
      <c r="R21" s="5">
        <v>110.5</v>
      </c>
      <c r="S21" s="5">
        <v>109.5</v>
      </c>
      <c r="T21" s="5">
        <v>110.3</v>
      </c>
      <c r="U21" s="5" t="s">
        <v>32</v>
      </c>
      <c r="V21" s="5">
        <v>109.5</v>
      </c>
      <c r="W21" s="5">
        <v>108.3</v>
      </c>
      <c r="X21" s="5">
        <v>106.9</v>
      </c>
      <c r="Y21" s="5">
        <v>106.8</v>
      </c>
      <c r="Z21" s="5">
        <v>106.4</v>
      </c>
      <c r="AA21" s="5">
        <v>107.8</v>
      </c>
      <c r="AB21" s="5">
        <v>102.5</v>
      </c>
      <c r="AC21" s="5">
        <v>106.5</v>
      </c>
      <c r="AD21" s="5">
        <v>110.7</v>
      </c>
    </row>
    <row r="22" spans="1:30" x14ac:dyDescent="0.35">
      <c r="A22" s="5" t="s">
        <v>33</v>
      </c>
      <c r="B22" s="5">
        <v>2013</v>
      </c>
      <c r="C22" s="5" t="s">
        <v>40</v>
      </c>
      <c r="D22" s="11">
        <v>117.8</v>
      </c>
      <c r="E22" s="5">
        <v>119.2</v>
      </c>
      <c r="F22" s="5">
        <v>114</v>
      </c>
      <c r="G22" s="5">
        <v>108.3</v>
      </c>
      <c r="H22" s="5">
        <v>101.1</v>
      </c>
      <c r="I22" s="5">
        <v>113.2</v>
      </c>
      <c r="J22" s="5">
        <v>160.9</v>
      </c>
      <c r="K22" s="5">
        <v>105.1</v>
      </c>
      <c r="L22" s="5">
        <v>101.3</v>
      </c>
      <c r="M22" s="5">
        <v>107.5</v>
      </c>
      <c r="N22" s="5">
        <v>110.4</v>
      </c>
      <c r="O22" s="5">
        <v>113.1</v>
      </c>
      <c r="P22" s="5">
        <v>117.5</v>
      </c>
      <c r="Q22" s="5">
        <v>111.7</v>
      </c>
      <c r="R22" s="5">
        <v>109.8</v>
      </c>
      <c r="S22" s="5">
        <v>107.8</v>
      </c>
      <c r="T22" s="5">
        <v>109.5</v>
      </c>
      <c r="U22" s="5">
        <v>107.7</v>
      </c>
      <c r="V22" s="5">
        <v>108.6</v>
      </c>
      <c r="W22" s="5">
        <v>108.1</v>
      </c>
      <c r="X22" s="5">
        <v>107.1</v>
      </c>
      <c r="Y22" s="5">
        <v>107.3</v>
      </c>
      <c r="Z22" s="5">
        <v>105.9</v>
      </c>
      <c r="AA22" s="5">
        <v>110.1</v>
      </c>
      <c r="AB22" s="5">
        <v>103.2</v>
      </c>
      <c r="AC22" s="5">
        <v>107.3</v>
      </c>
      <c r="AD22" s="5">
        <v>111.4</v>
      </c>
    </row>
    <row r="23" spans="1:30" x14ac:dyDescent="0.35">
      <c r="A23" s="5" t="s">
        <v>34</v>
      </c>
      <c r="B23" s="5">
        <v>2013</v>
      </c>
      <c r="C23" s="5" t="s">
        <v>40</v>
      </c>
      <c r="D23" s="11">
        <v>114.8</v>
      </c>
      <c r="E23" s="5">
        <v>116.4</v>
      </c>
      <c r="F23" s="5">
        <v>111.9</v>
      </c>
      <c r="G23" s="5">
        <v>108.9</v>
      </c>
      <c r="H23" s="5">
        <v>104.3</v>
      </c>
      <c r="I23" s="5">
        <v>111.7</v>
      </c>
      <c r="J23" s="5">
        <v>140</v>
      </c>
      <c r="K23" s="5">
        <v>106.4</v>
      </c>
      <c r="L23" s="5">
        <v>103.3</v>
      </c>
      <c r="M23" s="5">
        <v>106.8</v>
      </c>
      <c r="N23" s="5">
        <v>109.6</v>
      </c>
      <c r="O23" s="5">
        <v>112.6</v>
      </c>
      <c r="P23" s="5">
        <v>114.7</v>
      </c>
      <c r="Q23" s="5">
        <v>110.3</v>
      </c>
      <c r="R23" s="5">
        <v>110.2</v>
      </c>
      <c r="S23" s="5">
        <v>108.8</v>
      </c>
      <c r="T23" s="5">
        <v>110</v>
      </c>
      <c r="U23" s="5">
        <v>107.7</v>
      </c>
      <c r="V23" s="5">
        <v>109.2</v>
      </c>
      <c r="W23" s="5">
        <v>108.2</v>
      </c>
      <c r="X23" s="5">
        <v>107</v>
      </c>
      <c r="Y23" s="5">
        <v>107.1</v>
      </c>
      <c r="Z23" s="5">
        <v>106.1</v>
      </c>
      <c r="AA23" s="5">
        <v>109.1</v>
      </c>
      <c r="AB23" s="5">
        <v>102.8</v>
      </c>
      <c r="AC23" s="5">
        <v>106.9</v>
      </c>
      <c r="AD23" s="5">
        <v>111</v>
      </c>
    </row>
    <row r="24" spans="1:30" x14ac:dyDescent="0.35">
      <c r="A24" s="5" t="s">
        <v>30</v>
      </c>
      <c r="B24" s="5">
        <v>2013</v>
      </c>
      <c r="C24" s="5" t="s">
        <v>41</v>
      </c>
      <c r="D24" s="11">
        <v>114.3</v>
      </c>
      <c r="E24" s="5">
        <v>115.4</v>
      </c>
      <c r="F24" s="5">
        <v>111.1</v>
      </c>
      <c r="G24" s="5">
        <v>110</v>
      </c>
      <c r="H24" s="5">
        <v>106.4</v>
      </c>
      <c r="I24" s="5">
        <v>110.8</v>
      </c>
      <c r="J24" s="5">
        <v>138.9</v>
      </c>
      <c r="K24" s="5">
        <v>107.4</v>
      </c>
      <c r="L24" s="5">
        <v>104.1</v>
      </c>
      <c r="M24" s="5">
        <v>106.9</v>
      </c>
      <c r="N24" s="5">
        <v>109.7</v>
      </c>
      <c r="O24" s="5">
        <v>112.6</v>
      </c>
      <c r="P24" s="5">
        <v>114.9</v>
      </c>
      <c r="Q24" s="5">
        <v>110.7</v>
      </c>
      <c r="R24" s="5">
        <v>111.3</v>
      </c>
      <c r="S24" s="5">
        <v>110.2</v>
      </c>
      <c r="T24" s="5">
        <v>111.1</v>
      </c>
      <c r="U24" s="5" t="s">
        <v>32</v>
      </c>
      <c r="V24" s="5">
        <v>109.9</v>
      </c>
      <c r="W24" s="5">
        <v>108.7</v>
      </c>
      <c r="X24" s="5">
        <v>107.5</v>
      </c>
      <c r="Y24" s="5">
        <v>107.8</v>
      </c>
      <c r="Z24" s="5">
        <v>106.8</v>
      </c>
      <c r="AA24" s="5">
        <v>108.7</v>
      </c>
      <c r="AB24" s="5">
        <v>105</v>
      </c>
      <c r="AC24" s="5">
        <v>107.5</v>
      </c>
      <c r="AD24" s="5">
        <v>112.1</v>
      </c>
    </row>
    <row r="25" spans="1:30" x14ac:dyDescent="0.35">
      <c r="A25" s="5" t="s">
        <v>33</v>
      </c>
      <c r="B25" s="5">
        <v>2013</v>
      </c>
      <c r="C25" s="5" t="s">
        <v>41</v>
      </c>
      <c r="D25" s="11">
        <v>118.3</v>
      </c>
      <c r="E25" s="5">
        <v>120.4</v>
      </c>
      <c r="F25" s="5">
        <v>112.7</v>
      </c>
      <c r="G25" s="5">
        <v>108.9</v>
      </c>
      <c r="H25" s="5">
        <v>101.1</v>
      </c>
      <c r="I25" s="5">
        <v>108.7</v>
      </c>
      <c r="J25" s="5">
        <v>177</v>
      </c>
      <c r="K25" s="5">
        <v>104.7</v>
      </c>
      <c r="L25" s="5">
        <v>101</v>
      </c>
      <c r="M25" s="5">
        <v>108.5</v>
      </c>
      <c r="N25" s="5">
        <v>110.9</v>
      </c>
      <c r="O25" s="5">
        <v>114.3</v>
      </c>
      <c r="P25" s="5">
        <v>119.6</v>
      </c>
      <c r="Q25" s="5">
        <v>112.4</v>
      </c>
      <c r="R25" s="5">
        <v>110.6</v>
      </c>
      <c r="S25" s="5">
        <v>108.3</v>
      </c>
      <c r="T25" s="5">
        <v>110.2</v>
      </c>
      <c r="U25" s="5">
        <v>108.9</v>
      </c>
      <c r="V25" s="5">
        <v>109.3</v>
      </c>
      <c r="W25" s="5">
        <v>108.7</v>
      </c>
      <c r="X25" s="5">
        <v>107.6</v>
      </c>
      <c r="Y25" s="5">
        <v>108.1</v>
      </c>
      <c r="Z25" s="5">
        <v>106.5</v>
      </c>
      <c r="AA25" s="5">
        <v>110.8</v>
      </c>
      <c r="AB25" s="5">
        <v>106</v>
      </c>
      <c r="AC25" s="5">
        <v>108.3</v>
      </c>
      <c r="AD25" s="5">
        <v>112.7</v>
      </c>
    </row>
    <row r="26" spans="1:30" x14ac:dyDescent="0.35">
      <c r="A26" s="5" t="s">
        <v>34</v>
      </c>
      <c r="B26" s="5">
        <v>2013</v>
      </c>
      <c r="C26" s="5" t="s">
        <v>41</v>
      </c>
      <c r="D26" s="11">
        <v>115.6</v>
      </c>
      <c r="E26" s="5">
        <v>117.2</v>
      </c>
      <c r="F26" s="5">
        <v>111.7</v>
      </c>
      <c r="G26" s="5">
        <v>109.6</v>
      </c>
      <c r="H26" s="5">
        <v>104.5</v>
      </c>
      <c r="I26" s="5">
        <v>109.8</v>
      </c>
      <c r="J26" s="5">
        <v>151.80000000000001</v>
      </c>
      <c r="K26" s="5">
        <v>106.5</v>
      </c>
      <c r="L26" s="5">
        <v>103.1</v>
      </c>
      <c r="M26" s="5">
        <v>107.4</v>
      </c>
      <c r="N26" s="5">
        <v>110.2</v>
      </c>
      <c r="O26" s="5">
        <v>113.4</v>
      </c>
      <c r="P26" s="5">
        <v>116.6</v>
      </c>
      <c r="Q26" s="5">
        <v>111.2</v>
      </c>
      <c r="R26" s="5">
        <v>111</v>
      </c>
      <c r="S26" s="5">
        <v>109.4</v>
      </c>
      <c r="T26" s="5">
        <v>110.7</v>
      </c>
      <c r="U26" s="5">
        <v>108.9</v>
      </c>
      <c r="V26" s="5">
        <v>109.7</v>
      </c>
      <c r="W26" s="5">
        <v>108.7</v>
      </c>
      <c r="X26" s="5">
        <v>107.5</v>
      </c>
      <c r="Y26" s="5">
        <v>108</v>
      </c>
      <c r="Z26" s="5">
        <v>106.6</v>
      </c>
      <c r="AA26" s="5">
        <v>109.9</v>
      </c>
      <c r="AB26" s="5">
        <v>105.4</v>
      </c>
      <c r="AC26" s="5">
        <v>107.9</v>
      </c>
      <c r="AD26" s="5">
        <v>112.4</v>
      </c>
    </row>
    <row r="27" spans="1:30" x14ac:dyDescent="0.35">
      <c r="A27" s="5" t="s">
        <v>30</v>
      </c>
      <c r="B27" s="5">
        <v>2013</v>
      </c>
      <c r="C27" s="5" t="s">
        <v>42</v>
      </c>
      <c r="D27" s="11">
        <v>115.4</v>
      </c>
      <c r="E27" s="5">
        <v>115.7</v>
      </c>
      <c r="F27" s="5">
        <v>111.7</v>
      </c>
      <c r="G27" s="5">
        <v>111</v>
      </c>
      <c r="H27" s="5">
        <v>107.4</v>
      </c>
      <c r="I27" s="5">
        <v>110.9</v>
      </c>
      <c r="J27" s="5">
        <v>154</v>
      </c>
      <c r="K27" s="5">
        <v>108.1</v>
      </c>
      <c r="L27" s="5">
        <v>104.2</v>
      </c>
      <c r="M27" s="5">
        <v>107.9</v>
      </c>
      <c r="N27" s="5">
        <v>110.4</v>
      </c>
      <c r="O27" s="5">
        <v>114</v>
      </c>
      <c r="P27" s="5">
        <v>117.8</v>
      </c>
      <c r="Q27" s="5">
        <v>111.7</v>
      </c>
      <c r="R27" s="5">
        <v>112.7</v>
      </c>
      <c r="S27" s="5">
        <v>111.4</v>
      </c>
      <c r="T27" s="5">
        <v>112.5</v>
      </c>
      <c r="U27" s="5" t="s">
        <v>32</v>
      </c>
      <c r="V27" s="5">
        <v>111.1</v>
      </c>
      <c r="W27" s="5">
        <v>109.6</v>
      </c>
      <c r="X27" s="5">
        <v>108.3</v>
      </c>
      <c r="Y27" s="5">
        <v>109.3</v>
      </c>
      <c r="Z27" s="5">
        <v>107.7</v>
      </c>
      <c r="AA27" s="5">
        <v>109.8</v>
      </c>
      <c r="AB27" s="5">
        <v>106.7</v>
      </c>
      <c r="AC27" s="5">
        <v>108.7</v>
      </c>
      <c r="AD27" s="5">
        <v>114.2</v>
      </c>
    </row>
    <row r="28" spans="1:30" x14ac:dyDescent="0.35">
      <c r="A28" s="5" t="s">
        <v>33</v>
      </c>
      <c r="B28" s="5">
        <v>2013</v>
      </c>
      <c r="C28" s="5" t="s">
        <v>42</v>
      </c>
      <c r="D28" s="11">
        <v>118.6</v>
      </c>
      <c r="E28" s="5">
        <v>119.1</v>
      </c>
      <c r="F28" s="5">
        <v>113.2</v>
      </c>
      <c r="G28" s="5">
        <v>109.6</v>
      </c>
      <c r="H28" s="5">
        <v>101.7</v>
      </c>
      <c r="I28" s="5">
        <v>103.2</v>
      </c>
      <c r="J28" s="5">
        <v>174.3</v>
      </c>
      <c r="K28" s="5">
        <v>105.1</v>
      </c>
      <c r="L28" s="5">
        <v>100.8</v>
      </c>
      <c r="M28" s="5">
        <v>109.1</v>
      </c>
      <c r="N28" s="5">
        <v>111.1</v>
      </c>
      <c r="O28" s="5">
        <v>115.4</v>
      </c>
      <c r="P28" s="5">
        <v>119.2</v>
      </c>
      <c r="Q28" s="5">
        <v>112.9</v>
      </c>
      <c r="R28" s="5">
        <v>111.4</v>
      </c>
      <c r="S28" s="5">
        <v>109</v>
      </c>
      <c r="T28" s="5">
        <v>111.1</v>
      </c>
      <c r="U28" s="5">
        <v>109.7</v>
      </c>
      <c r="V28" s="5">
        <v>109.5</v>
      </c>
      <c r="W28" s="5">
        <v>109.6</v>
      </c>
      <c r="X28" s="5">
        <v>107.9</v>
      </c>
      <c r="Y28" s="5">
        <v>110.4</v>
      </c>
      <c r="Z28" s="5">
        <v>107.4</v>
      </c>
      <c r="AA28" s="5">
        <v>111.2</v>
      </c>
      <c r="AB28" s="5">
        <v>106.9</v>
      </c>
      <c r="AC28" s="5">
        <v>109.4</v>
      </c>
      <c r="AD28" s="5">
        <v>113.2</v>
      </c>
    </row>
    <row r="29" spans="1:30" x14ac:dyDescent="0.35">
      <c r="A29" s="5" t="s">
        <v>34</v>
      </c>
      <c r="B29" s="5">
        <v>2013</v>
      </c>
      <c r="C29" s="5" t="s">
        <v>42</v>
      </c>
      <c r="D29" s="11">
        <v>116.4</v>
      </c>
      <c r="E29" s="5">
        <v>116.9</v>
      </c>
      <c r="F29" s="5">
        <v>112.3</v>
      </c>
      <c r="G29" s="5">
        <v>110.5</v>
      </c>
      <c r="H29" s="5">
        <v>105.3</v>
      </c>
      <c r="I29" s="5">
        <v>107.3</v>
      </c>
      <c r="J29" s="5">
        <v>160.9</v>
      </c>
      <c r="K29" s="5">
        <v>107.1</v>
      </c>
      <c r="L29" s="5">
        <v>103.1</v>
      </c>
      <c r="M29" s="5">
        <v>108.3</v>
      </c>
      <c r="N29" s="5">
        <v>110.7</v>
      </c>
      <c r="O29" s="5">
        <v>114.6</v>
      </c>
      <c r="P29" s="5">
        <v>118.3</v>
      </c>
      <c r="Q29" s="5">
        <v>112</v>
      </c>
      <c r="R29" s="5">
        <v>112.2</v>
      </c>
      <c r="S29" s="5">
        <v>110.4</v>
      </c>
      <c r="T29" s="5">
        <v>111.9</v>
      </c>
      <c r="U29" s="5">
        <v>109.7</v>
      </c>
      <c r="V29" s="5">
        <v>110.5</v>
      </c>
      <c r="W29" s="5">
        <v>109.6</v>
      </c>
      <c r="X29" s="5">
        <v>108.1</v>
      </c>
      <c r="Y29" s="5">
        <v>109.9</v>
      </c>
      <c r="Z29" s="5">
        <v>107.5</v>
      </c>
      <c r="AA29" s="5">
        <v>110.6</v>
      </c>
      <c r="AB29" s="5">
        <v>106.8</v>
      </c>
      <c r="AC29" s="5">
        <v>109</v>
      </c>
      <c r="AD29" s="5">
        <v>113.7</v>
      </c>
    </row>
    <row r="30" spans="1:30" x14ac:dyDescent="0.35">
      <c r="A30" s="5" t="s">
        <v>30</v>
      </c>
      <c r="B30" s="5">
        <v>2013</v>
      </c>
      <c r="C30" s="5" t="s">
        <v>43</v>
      </c>
      <c r="D30" s="11">
        <v>116.3</v>
      </c>
      <c r="E30" s="5">
        <v>115.4</v>
      </c>
      <c r="F30" s="5">
        <v>112.6</v>
      </c>
      <c r="G30" s="5">
        <v>111.7</v>
      </c>
      <c r="H30" s="5">
        <v>107.7</v>
      </c>
      <c r="I30" s="5">
        <v>113.2</v>
      </c>
      <c r="J30" s="5">
        <v>164.9</v>
      </c>
      <c r="K30" s="5">
        <v>108.3</v>
      </c>
      <c r="L30" s="5">
        <v>103.9</v>
      </c>
      <c r="M30" s="5">
        <v>108.2</v>
      </c>
      <c r="N30" s="5">
        <v>111.1</v>
      </c>
      <c r="O30" s="5">
        <v>114.9</v>
      </c>
      <c r="P30" s="5">
        <v>119.8</v>
      </c>
      <c r="Q30" s="5">
        <v>112.2</v>
      </c>
      <c r="R30" s="5">
        <v>113.6</v>
      </c>
      <c r="S30" s="5">
        <v>112.3</v>
      </c>
      <c r="T30" s="5">
        <v>113.4</v>
      </c>
      <c r="U30" s="5" t="s">
        <v>32</v>
      </c>
      <c r="V30" s="5">
        <v>111.6</v>
      </c>
      <c r="W30" s="5">
        <v>110.4</v>
      </c>
      <c r="X30" s="5">
        <v>108.9</v>
      </c>
      <c r="Y30" s="5">
        <v>109.3</v>
      </c>
      <c r="Z30" s="5">
        <v>108.3</v>
      </c>
      <c r="AA30" s="5">
        <v>110.2</v>
      </c>
      <c r="AB30" s="5">
        <v>107.5</v>
      </c>
      <c r="AC30" s="5">
        <v>109.1</v>
      </c>
      <c r="AD30" s="5">
        <v>115.5</v>
      </c>
    </row>
    <row r="31" spans="1:30" x14ac:dyDescent="0.35">
      <c r="A31" s="5" t="s">
        <v>33</v>
      </c>
      <c r="B31" s="5">
        <v>2013</v>
      </c>
      <c r="C31" s="5" t="s">
        <v>43</v>
      </c>
      <c r="D31" s="11">
        <v>118.9</v>
      </c>
      <c r="E31" s="5">
        <v>118.1</v>
      </c>
      <c r="F31" s="5">
        <v>114.5</v>
      </c>
      <c r="G31" s="5">
        <v>110.4</v>
      </c>
      <c r="H31" s="5">
        <v>102.3</v>
      </c>
      <c r="I31" s="5">
        <v>106.2</v>
      </c>
      <c r="J31" s="5">
        <v>183.5</v>
      </c>
      <c r="K31" s="5">
        <v>105.3</v>
      </c>
      <c r="L31" s="5">
        <v>100.2</v>
      </c>
      <c r="M31" s="5">
        <v>109.6</v>
      </c>
      <c r="N31" s="5">
        <v>111.4</v>
      </c>
      <c r="O31" s="5">
        <v>116</v>
      </c>
      <c r="P31" s="5">
        <v>120.8</v>
      </c>
      <c r="Q31" s="5">
        <v>113.5</v>
      </c>
      <c r="R31" s="5">
        <v>112.5</v>
      </c>
      <c r="S31" s="5">
        <v>109.7</v>
      </c>
      <c r="T31" s="5">
        <v>112</v>
      </c>
      <c r="U31" s="5">
        <v>110.5</v>
      </c>
      <c r="V31" s="5">
        <v>109.7</v>
      </c>
      <c r="W31" s="5">
        <v>110.2</v>
      </c>
      <c r="X31" s="5">
        <v>108.2</v>
      </c>
      <c r="Y31" s="5">
        <v>109.7</v>
      </c>
      <c r="Z31" s="5">
        <v>108</v>
      </c>
      <c r="AA31" s="5">
        <v>111.3</v>
      </c>
      <c r="AB31" s="5">
        <v>107.3</v>
      </c>
      <c r="AC31" s="5">
        <v>109.4</v>
      </c>
      <c r="AD31" s="5">
        <v>114</v>
      </c>
    </row>
    <row r="32" spans="1:30" x14ac:dyDescent="0.35">
      <c r="A32" s="5" t="s">
        <v>34</v>
      </c>
      <c r="B32" s="5">
        <v>2013</v>
      </c>
      <c r="C32" s="5" t="s">
        <v>43</v>
      </c>
      <c r="D32" s="11">
        <v>117.1</v>
      </c>
      <c r="E32" s="5">
        <v>116.3</v>
      </c>
      <c r="F32" s="5">
        <v>113.3</v>
      </c>
      <c r="G32" s="5">
        <v>111.2</v>
      </c>
      <c r="H32" s="5">
        <v>105.7</v>
      </c>
      <c r="I32" s="5">
        <v>109.9</v>
      </c>
      <c r="J32" s="5">
        <v>171.2</v>
      </c>
      <c r="K32" s="5">
        <v>107.3</v>
      </c>
      <c r="L32" s="5">
        <v>102.7</v>
      </c>
      <c r="M32" s="5">
        <v>108.7</v>
      </c>
      <c r="N32" s="5">
        <v>111.2</v>
      </c>
      <c r="O32" s="5">
        <v>115.4</v>
      </c>
      <c r="P32" s="5">
        <v>120.2</v>
      </c>
      <c r="Q32" s="5">
        <v>112.5</v>
      </c>
      <c r="R32" s="5">
        <v>113.2</v>
      </c>
      <c r="S32" s="5">
        <v>111.2</v>
      </c>
      <c r="T32" s="5">
        <v>112.8</v>
      </c>
      <c r="U32" s="5">
        <v>110.5</v>
      </c>
      <c r="V32" s="5">
        <v>110.9</v>
      </c>
      <c r="W32" s="5">
        <v>110.3</v>
      </c>
      <c r="X32" s="5">
        <v>108.6</v>
      </c>
      <c r="Y32" s="5">
        <v>109.5</v>
      </c>
      <c r="Z32" s="5">
        <v>108.1</v>
      </c>
      <c r="AA32" s="5">
        <v>110.8</v>
      </c>
      <c r="AB32" s="5">
        <v>107.4</v>
      </c>
      <c r="AC32" s="5">
        <v>109.2</v>
      </c>
      <c r="AD32" s="5">
        <v>114.8</v>
      </c>
    </row>
    <row r="33" spans="1:30" x14ac:dyDescent="0.35">
      <c r="A33" s="5" t="s">
        <v>30</v>
      </c>
      <c r="B33" s="5">
        <v>2013</v>
      </c>
      <c r="C33" s="5" t="s">
        <v>44</v>
      </c>
      <c r="D33" s="11">
        <v>117.3</v>
      </c>
      <c r="E33" s="5">
        <v>114.9</v>
      </c>
      <c r="F33" s="5">
        <v>116.2</v>
      </c>
      <c r="G33" s="5">
        <v>112.8</v>
      </c>
      <c r="H33" s="5">
        <v>108.9</v>
      </c>
      <c r="I33" s="5">
        <v>116.6</v>
      </c>
      <c r="J33" s="5">
        <v>178.1</v>
      </c>
      <c r="K33" s="5">
        <v>109.1</v>
      </c>
      <c r="L33" s="5">
        <v>103.6</v>
      </c>
      <c r="M33" s="5">
        <v>109</v>
      </c>
      <c r="N33" s="5">
        <v>111.8</v>
      </c>
      <c r="O33" s="5">
        <v>116</v>
      </c>
      <c r="P33" s="5">
        <v>122.5</v>
      </c>
      <c r="Q33" s="5">
        <v>112.8</v>
      </c>
      <c r="R33" s="5">
        <v>114.6</v>
      </c>
      <c r="S33" s="5">
        <v>113.1</v>
      </c>
      <c r="T33" s="5">
        <v>114.4</v>
      </c>
      <c r="U33" s="5" t="s">
        <v>32</v>
      </c>
      <c r="V33" s="5">
        <v>112.6</v>
      </c>
      <c r="W33" s="5">
        <v>111.3</v>
      </c>
      <c r="X33" s="5">
        <v>109.7</v>
      </c>
      <c r="Y33" s="5">
        <v>109.6</v>
      </c>
      <c r="Z33" s="5">
        <v>108.7</v>
      </c>
      <c r="AA33" s="5">
        <v>111</v>
      </c>
      <c r="AB33" s="5">
        <v>108.2</v>
      </c>
      <c r="AC33" s="5">
        <v>109.8</v>
      </c>
      <c r="AD33" s="5">
        <v>117.4</v>
      </c>
    </row>
    <row r="34" spans="1:30" x14ac:dyDescent="0.35">
      <c r="A34" s="5" t="s">
        <v>33</v>
      </c>
      <c r="B34" s="5">
        <v>2013</v>
      </c>
      <c r="C34" s="5" t="s">
        <v>45</v>
      </c>
      <c r="D34" s="11">
        <v>119.8</v>
      </c>
      <c r="E34" s="5">
        <v>116.3</v>
      </c>
      <c r="F34" s="5">
        <v>122.6</v>
      </c>
      <c r="G34" s="5">
        <v>112</v>
      </c>
      <c r="H34" s="5">
        <v>103.2</v>
      </c>
      <c r="I34" s="5">
        <v>110</v>
      </c>
      <c r="J34" s="5">
        <v>192.8</v>
      </c>
      <c r="K34" s="5">
        <v>106.3</v>
      </c>
      <c r="L34" s="5">
        <v>99.5</v>
      </c>
      <c r="M34" s="5">
        <v>110.3</v>
      </c>
      <c r="N34" s="5">
        <v>111.8</v>
      </c>
      <c r="O34" s="5">
        <v>117.1</v>
      </c>
      <c r="P34" s="5">
        <v>122.9</v>
      </c>
      <c r="Q34" s="5">
        <v>114.1</v>
      </c>
      <c r="R34" s="5">
        <v>113.5</v>
      </c>
      <c r="S34" s="5">
        <v>110.3</v>
      </c>
      <c r="T34" s="5">
        <v>113</v>
      </c>
      <c r="U34" s="5">
        <v>111.1</v>
      </c>
      <c r="V34" s="5">
        <v>110</v>
      </c>
      <c r="W34" s="5">
        <v>110.9</v>
      </c>
      <c r="X34" s="5">
        <v>108.6</v>
      </c>
      <c r="Y34" s="5">
        <v>109.5</v>
      </c>
      <c r="Z34" s="5">
        <v>108.5</v>
      </c>
      <c r="AA34" s="5">
        <v>111.3</v>
      </c>
      <c r="AB34" s="5">
        <v>107.9</v>
      </c>
      <c r="AC34" s="5">
        <v>109.6</v>
      </c>
      <c r="AD34" s="5">
        <v>115</v>
      </c>
    </row>
    <row r="35" spans="1:30" x14ac:dyDescent="0.35">
      <c r="A35" s="5" t="s">
        <v>34</v>
      </c>
      <c r="B35" s="5">
        <v>2013</v>
      </c>
      <c r="C35" s="5" t="s">
        <v>45</v>
      </c>
      <c r="D35" s="11">
        <v>118.1</v>
      </c>
      <c r="E35" s="5">
        <v>115.4</v>
      </c>
      <c r="F35" s="5">
        <v>118.7</v>
      </c>
      <c r="G35" s="5">
        <v>112.5</v>
      </c>
      <c r="H35" s="5">
        <v>106.8</v>
      </c>
      <c r="I35" s="5">
        <v>113.5</v>
      </c>
      <c r="J35" s="5">
        <v>183.1</v>
      </c>
      <c r="K35" s="5">
        <v>108.2</v>
      </c>
      <c r="L35" s="5">
        <v>102.2</v>
      </c>
      <c r="M35" s="5">
        <v>109.4</v>
      </c>
      <c r="N35" s="5">
        <v>111.8</v>
      </c>
      <c r="O35" s="5">
        <v>116.5</v>
      </c>
      <c r="P35" s="5">
        <v>122.6</v>
      </c>
      <c r="Q35" s="5">
        <v>113.1</v>
      </c>
      <c r="R35" s="5">
        <v>114.2</v>
      </c>
      <c r="S35" s="5">
        <v>111.9</v>
      </c>
      <c r="T35" s="5">
        <v>113.8</v>
      </c>
      <c r="U35" s="5">
        <v>111.1</v>
      </c>
      <c r="V35" s="5">
        <v>111.6</v>
      </c>
      <c r="W35" s="5">
        <v>111.1</v>
      </c>
      <c r="X35" s="5">
        <v>109.3</v>
      </c>
      <c r="Y35" s="5">
        <v>109.5</v>
      </c>
      <c r="Z35" s="5">
        <v>108.6</v>
      </c>
      <c r="AA35" s="5">
        <v>111.2</v>
      </c>
      <c r="AB35" s="5">
        <v>108.1</v>
      </c>
      <c r="AC35" s="5">
        <v>109.7</v>
      </c>
      <c r="AD35" s="5">
        <v>116.3</v>
      </c>
    </row>
    <row r="36" spans="1:30" x14ac:dyDescent="0.35">
      <c r="A36" s="5" t="s">
        <v>30</v>
      </c>
      <c r="B36" s="5">
        <v>2013</v>
      </c>
      <c r="C36" s="5" t="s">
        <v>46</v>
      </c>
      <c r="D36" s="11">
        <v>118.4</v>
      </c>
      <c r="E36" s="5">
        <v>115.9</v>
      </c>
      <c r="F36" s="5">
        <v>120.4</v>
      </c>
      <c r="G36" s="5">
        <v>113.8</v>
      </c>
      <c r="H36" s="5">
        <v>109.5</v>
      </c>
      <c r="I36" s="5">
        <v>115.5</v>
      </c>
      <c r="J36" s="5">
        <v>145.69999999999999</v>
      </c>
      <c r="K36" s="5">
        <v>109.5</v>
      </c>
      <c r="L36" s="5">
        <v>102.9</v>
      </c>
      <c r="M36" s="5">
        <v>109.8</v>
      </c>
      <c r="N36" s="5">
        <v>112.1</v>
      </c>
      <c r="O36" s="5">
        <v>116.8</v>
      </c>
      <c r="P36" s="5">
        <v>118.7</v>
      </c>
      <c r="Q36" s="5">
        <v>113.6</v>
      </c>
      <c r="R36" s="5">
        <v>115.8</v>
      </c>
      <c r="S36" s="5">
        <v>114</v>
      </c>
      <c r="T36" s="5">
        <v>115.5</v>
      </c>
      <c r="U36" s="5" t="s">
        <v>32</v>
      </c>
      <c r="V36" s="5">
        <v>112.8</v>
      </c>
      <c r="W36" s="5">
        <v>112.1</v>
      </c>
      <c r="X36" s="5">
        <v>110.1</v>
      </c>
      <c r="Y36" s="5">
        <v>109.9</v>
      </c>
      <c r="Z36" s="5">
        <v>109.2</v>
      </c>
      <c r="AA36" s="5">
        <v>111.6</v>
      </c>
      <c r="AB36" s="5">
        <v>108.1</v>
      </c>
      <c r="AC36" s="5">
        <v>110.1</v>
      </c>
      <c r="AD36" s="5">
        <v>115.5</v>
      </c>
    </row>
    <row r="37" spans="1:30" x14ac:dyDescent="0.35">
      <c r="A37" s="5" t="s">
        <v>33</v>
      </c>
      <c r="B37" s="5">
        <v>2013</v>
      </c>
      <c r="C37" s="5" t="s">
        <v>46</v>
      </c>
      <c r="D37" s="11">
        <v>120.5</v>
      </c>
      <c r="E37" s="5">
        <v>118.1</v>
      </c>
      <c r="F37" s="5">
        <v>128.5</v>
      </c>
      <c r="G37" s="5">
        <v>112.8</v>
      </c>
      <c r="H37" s="5">
        <v>103.4</v>
      </c>
      <c r="I37" s="5">
        <v>110.7</v>
      </c>
      <c r="J37" s="5">
        <v>144.80000000000001</v>
      </c>
      <c r="K37" s="5">
        <v>107.1</v>
      </c>
      <c r="L37" s="5">
        <v>98.6</v>
      </c>
      <c r="M37" s="5">
        <v>111.9</v>
      </c>
      <c r="N37" s="5">
        <v>112.1</v>
      </c>
      <c r="O37" s="5">
        <v>118.1</v>
      </c>
      <c r="P37" s="5">
        <v>117.8</v>
      </c>
      <c r="Q37" s="5">
        <v>115</v>
      </c>
      <c r="R37" s="5">
        <v>114.2</v>
      </c>
      <c r="S37" s="5">
        <v>110.9</v>
      </c>
      <c r="T37" s="5">
        <v>113.7</v>
      </c>
      <c r="U37" s="5">
        <v>110.7</v>
      </c>
      <c r="V37" s="5">
        <v>110.4</v>
      </c>
      <c r="W37" s="5">
        <v>111.3</v>
      </c>
      <c r="X37" s="5">
        <v>109</v>
      </c>
      <c r="Y37" s="5">
        <v>109.7</v>
      </c>
      <c r="Z37" s="5">
        <v>108.9</v>
      </c>
      <c r="AA37" s="5">
        <v>111.4</v>
      </c>
      <c r="AB37" s="5">
        <v>107.7</v>
      </c>
      <c r="AC37" s="5">
        <v>109.8</v>
      </c>
      <c r="AD37" s="5">
        <v>113.3</v>
      </c>
    </row>
    <row r="38" spans="1:30" x14ac:dyDescent="0.35">
      <c r="A38" s="5" t="s">
        <v>34</v>
      </c>
      <c r="B38" s="5">
        <v>2013</v>
      </c>
      <c r="C38" s="5" t="s">
        <v>46</v>
      </c>
      <c r="D38" s="11">
        <v>119.1</v>
      </c>
      <c r="E38" s="5">
        <v>116.7</v>
      </c>
      <c r="F38" s="5">
        <v>123.5</v>
      </c>
      <c r="G38" s="5">
        <v>113.4</v>
      </c>
      <c r="H38" s="5">
        <v>107.3</v>
      </c>
      <c r="I38" s="5">
        <v>113.3</v>
      </c>
      <c r="J38" s="5">
        <v>145.4</v>
      </c>
      <c r="K38" s="5">
        <v>108.7</v>
      </c>
      <c r="L38" s="5">
        <v>101.5</v>
      </c>
      <c r="M38" s="5">
        <v>110.5</v>
      </c>
      <c r="N38" s="5">
        <v>112.1</v>
      </c>
      <c r="O38" s="5">
        <v>117.4</v>
      </c>
      <c r="P38" s="5">
        <v>118.4</v>
      </c>
      <c r="Q38" s="5">
        <v>114</v>
      </c>
      <c r="R38" s="5">
        <v>115.2</v>
      </c>
      <c r="S38" s="5">
        <v>112.7</v>
      </c>
      <c r="T38" s="5">
        <v>114.8</v>
      </c>
      <c r="U38" s="5">
        <v>110.7</v>
      </c>
      <c r="V38" s="5">
        <v>111.9</v>
      </c>
      <c r="W38" s="5">
        <v>111.7</v>
      </c>
      <c r="X38" s="5">
        <v>109.7</v>
      </c>
      <c r="Y38" s="5">
        <v>109.8</v>
      </c>
      <c r="Z38" s="5">
        <v>109</v>
      </c>
      <c r="AA38" s="5">
        <v>111.5</v>
      </c>
      <c r="AB38" s="5">
        <v>107.9</v>
      </c>
      <c r="AC38" s="5">
        <v>110</v>
      </c>
      <c r="AD38" s="5">
        <v>114.5</v>
      </c>
    </row>
    <row r="39" spans="1:30" x14ac:dyDescent="0.35">
      <c r="A39" s="5" t="s">
        <v>30</v>
      </c>
      <c r="B39" s="5">
        <v>2014</v>
      </c>
      <c r="C39" s="5" t="s">
        <v>31</v>
      </c>
      <c r="D39" s="11">
        <v>118.9</v>
      </c>
      <c r="E39" s="5">
        <v>117.1</v>
      </c>
      <c r="F39" s="5">
        <v>120.5</v>
      </c>
      <c r="G39" s="5">
        <v>114.4</v>
      </c>
      <c r="H39" s="5">
        <v>109</v>
      </c>
      <c r="I39" s="5">
        <v>115.5</v>
      </c>
      <c r="J39" s="5">
        <v>123.9</v>
      </c>
      <c r="K39" s="5">
        <v>109.6</v>
      </c>
      <c r="L39" s="5">
        <v>101.8</v>
      </c>
      <c r="M39" s="5">
        <v>110.2</v>
      </c>
      <c r="N39" s="5">
        <v>112.4</v>
      </c>
      <c r="O39" s="5">
        <v>117.3</v>
      </c>
      <c r="P39" s="5">
        <v>116</v>
      </c>
      <c r="Q39" s="5">
        <v>114</v>
      </c>
      <c r="R39" s="5">
        <v>116.5</v>
      </c>
      <c r="S39" s="5">
        <v>114.5</v>
      </c>
      <c r="T39" s="5">
        <v>116.2</v>
      </c>
      <c r="U39" s="5" t="s">
        <v>32</v>
      </c>
      <c r="V39" s="5">
        <v>113</v>
      </c>
      <c r="W39" s="5">
        <v>112.6</v>
      </c>
      <c r="X39" s="5">
        <v>110.6</v>
      </c>
      <c r="Y39" s="5">
        <v>110.5</v>
      </c>
      <c r="Z39" s="5">
        <v>109.6</v>
      </c>
      <c r="AA39" s="5">
        <v>111.8</v>
      </c>
      <c r="AB39" s="5">
        <v>108.3</v>
      </c>
      <c r="AC39" s="5">
        <v>110.6</v>
      </c>
      <c r="AD39" s="5">
        <v>114.2</v>
      </c>
    </row>
    <row r="40" spans="1:30" x14ac:dyDescent="0.35">
      <c r="A40" s="5" t="s">
        <v>33</v>
      </c>
      <c r="B40" s="5">
        <v>2014</v>
      </c>
      <c r="C40" s="5" t="s">
        <v>31</v>
      </c>
      <c r="D40" s="11">
        <v>121.2</v>
      </c>
      <c r="E40" s="5">
        <v>122</v>
      </c>
      <c r="F40" s="5">
        <v>129.9</v>
      </c>
      <c r="G40" s="5">
        <v>113.6</v>
      </c>
      <c r="H40" s="5">
        <v>102.9</v>
      </c>
      <c r="I40" s="5">
        <v>112.1</v>
      </c>
      <c r="J40" s="5">
        <v>118.9</v>
      </c>
      <c r="K40" s="5">
        <v>107.5</v>
      </c>
      <c r="L40" s="5">
        <v>96.9</v>
      </c>
      <c r="M40" s="5">
        <v>112.7</v>
      </c>
      <c r="N40" s="5">
        <v>112.1</v>
      </c>
      <c r="O40" s="5">
        <v>119</v>
      </c>
      <c r="P40" s="5">
        <v>115.5</v>
      </c>
      <c r="Q40" s="5">
        <v>115.7</v>
      </c>
      <c r="R40" s="5">
        <v>114.8</v>
      </c>
      <c r="S40" s="5">
        <v>111.3</v>
      </c>
      <c r="T40" s="5">
        <v>114.3</v>
      </c>
      <c r="U40" s="5">
        <v>111.6</v>
      </c>
      <c r="V40" s="5">
        <v>111</v>
      </c>
      <c r="W40" s="5">
        <v>111.9</v>
      </c>
      <c r="X40" s="5">
        <v>109.7</v>
      </c>
      <c r="Y40" s="5">
        <v>110.8</v>
      </c>
      <c r="Z40" s="5">
        <v>109.8</v>
      </c>
      <c r="AA40" s="5">
        <v>111.5</v>
      </c>
      <c r="AB40" s="5">
        <v>108</v>
      </c>
      <c r="AC40" s="5">
        <v>110.5</v>
      </c>
      <c r="AD40" s="5">
        <v>112.9</v>
      </c>
    </row>
    <row r="41" spans="1:30" x14ac:dyDescent="0.35">
      <c r="A41" s="5" t="s">
        <v>34</v>
      </c>
      <c r="B41" s="5">
        <v>2014</v>
      </c>
      <c r="C41" s="5" t="s">
        <v>31</v>
      </c>
      <c r="D41" s="11">
        <v>119.6</v>
      </c>
      <c r="E41" s="5">
        <v>118.8</v>
      </c>
      <c r="F41" s="5">
        <v>124.1</v>
      </c>
      <c r="G41" s="5">
        <v>114.1</v>
      </c>
      <c r="H41" s="5">
        <v>106.8</v>
      </c>
      <c r="I41" s="5">
        <v>113.9</v>
      </c>
      <c r="J41" s="5">
        <v>122.2</v>
      </c>
      <c r="K41" s="5">
        <v>108.9</v>
      </c>
      <c r="L41" s="5">
        <v>100.2</v>
      </c>
      <c r="M41" s="5">
        <v>111</v>
      </c>
      <c r="N41" s="5">
        <v>112.3</v>
      </c>
      <c r="O41" s="5">
        <v>118.1</v>
      </c>
      <c r="P41" s="5">
        <v>115.8</v>
      </c>
      <c r="Q41" s="5">
        <v>114.5</v>
      </c>
      <c r="R41" s="5">
        <v>115.8</v>
      </c>
      <c r="S41" s="5">
        <v>113.2</v>
      </c>
      <c r="T41" s="5">
        <v>115.4</v>
      </c>
      <c r="U41" s="5">
        <v>111.6</v>
      </c>
      <c r="V41" s="5">
        <v>112.2</v>
      </c>
      <c r="W41" s="5">
        <v>112.3</v>
      </c>
      <c r="X41" s="5">
        <v>110.3</v>
      </c>
      <c r="Y41" s="5">
        <v>110.7</v>
      </c>
      <c r="Z41" s="5">
        <v>109.7</v>
      </c>
      <c r="AA41" s="5">
        <v>111.6</v>
      </c>
      <c r="AB41" s="5">
        <v>108.2</v>
      </c>
      <c r="AC41" s="5">
        <v>110.6</v>
      </c>
      <c r="AD41" s="5">
        <v>113.6</v>
      </c>
    </row>
    <row r="42" spans="1:30" x14ac:dyDescent="0.35">
      <c r="A42" s="5" t="s">
        <v>30</v>
      </c>
      <c r="B42" s="5">
        <v>2014</v>
      </c>
      <c r="C42" s="5" t="s">
        <v>35</v>
      </c>
      <c r="D42" s="11">
        <v>119.4</v>
      </c>
      <c r="E42" s="5">
        <v>117.7</v>
      </c>
      <c r="F42" s="5">
        <v>121.2</v>
      </c>
      <c r="G42" s="5">
        <v>115</v>
      </c>
      <c r="H42" s="5">
        <v>109</v>
      </c>
      <c r="I42" s="5">
        <v>116.6</v>
      </c>
      <c r="J42" s="5">
        <v>116</v>
      </c>
      <c r="K42" s="5">
        <v>109.8</v>
      </c>
      <c r="L42" s="5">
        <v>101.1</v>
      </c>
      <c r="M42" s="5">
        <v>110.4</v>
      </c>
      <c r="N42" s="5">
        <v>112.9</v>
      </c>
      <c r="O42" s="5">
        <v>117.8</v>
      </c>
      <c r="P42" s="5">
        <v>115.3</v>
      </c>
      <c r="Q42" s="5">
        <v>114.2</v>
      </c>
      <c r="R42" s="5">
        <v>117.1</v>
      </c>
      <c r="S42" s="5">
        <v>114.5</v>
      </c>
      <c r="T42" s="5">
        <v>116.7</v>
      </c>
      <c r="U42" s="5" t="s">
        <v>32</v>
      </c>
      <c r="V42" s="5">
        <v>113.2</v>
      </c>
      <c r="W42" s="5">
        <v>112.9</v>
      </c>
      <c r="X42" s="5">
        <v>110.9</v>
      </c>
      <c r="Y42" s="5">
        <v>110.8</v>
      </c>
      <c r="Z42" s="5">
        <v>109.9</v>
      </c>
      <c r="AA42" s="5">
        <v>112</v>
      </c>
      <c r="AB42" s="5">
        <v>108.7</v>
      </c>
      <c r="AC42" s="5">
        <v>110.9</v>
      </c>
      <c r="AD42" s="5">
        <v>114</v>
      </c>
    </row>
    <row r="43" spans="1:30" x14ac:dyDescent="0.35">
      <c r="A43" s="5" t="s">
        <v>33</v>
      </c>
      <c r="B43" s="5">
        <v>2014</v>
      </c>
      <c r="C43" s="5" t="s">
        <v>35</v>
      </c>
      <c r="D43" s="11">
        <v>121.9</v>
      </c>
      <c r="E43" s="5">
        <v>122</v>
      </c>
      <c r="F43" s="5">
        <v>124.5</v>
      </c>
      <c r="G43" s="5">
        <v>115.2</v>
      </c>
      <c r="H43" s="5">
        <v>102.5</v>
      </c>
      <c r="I43" s="5">
        <v>114.1</v>
      </c>
      <c r="J43" s="5">
        <v>111.5</v>
      </c>
      <c r="K43" s="5">
        <v>108.2</v>
      </c>
      <c r="L43" s="5">
        <v>95.4</v>
      </c>
      <c r="M43" s="5">
        <v>113.5</v>
      </c>
      <c r="N43" s="5">
        <v>112.1</v>
      </c>
      <c r="O43" s="5">
        <v>119.9</v>
      </c>
      <c r="P43" s="5">
        <v>115.2</v>
      </c>
      <c r="Q43" s="5">
        <v>116.2</v>
      </c>
      <c r="R43" s="5">
        <v>115.3</v>
      </c>
      <c r="S43" s="5">
        <v>111.7</v>
      </c>
      <c r="T43" s="5">
        <v>114.7</v>
      </c>
      <c r="U43" s="5">
        <v>112.5</v>
      </c>
      <c r="V43" s="5">
        <v>111.1</v>
      </c>
      <c r="W43" s="5">
        <v>112.6</v>
      </c>
      <c r="X43" s="5">
        <v>110.4</v>
      </c>
      <c r="Y43" s="5">
        <v>111.3</v>
      </c>
      <c r="Z43" s="5">
        <v>110.3</v>
      </c>
      <c r="AA43" s="5">
        <v>111.6</v>
      </c>
      <c r="AB43" s="5">
        <v>108.7</v>
      </c>
      <c r="AC43" s="5">
        <v>111</v>
      </c>
      <c r="AD43" s="5">
        <v>113.1</v>
      </c>
    </row>
    <row r="44" spans="1:30" x14ac:dyDescent="0.35">
      <c r="A44" s="5" t="s">
        <v>34</v>
      </c>
      <c r="B44" s="5">
        <v>2014</v>
      </c>
      <c r="C44" s="5" t="s">
        <v>35</v>
      </c>
      <c r="D44" s="11">
        <v>120.2</v>
      </c>
      <c r="E44" s="5">
        <v>119.2</v>
      </c>
      <c r="F44" s="5">
        <v>122.5</v>
      </c>
      <c r="G44" s="5">
        <v>115.1</v>
      </c>
      <c r="H44" s="5">
        <v>106.6</v>
      </c>
      <c r="I44" s="5">
        <v>115.4</v>
      </c>
      <c r="J44" s="5">
        <v>114.5</v>
      </c>
      <c r="K44" s="5">
        <v>109.3</v>
      </c>
      <c r="L44" s="5">
        <v>99.2</v>
      </c>
      <c r="M44" s="5">
        <v>111.4</v>
      </c>
      <c r="N44" s="5">
        <v>112.6</v>
      </c>
      <c r="O44" s="5">
        <v>118.8</v>
      </c>
      <c r="P44" s="5">
        <v>115.3</v>
      </c>
      <c r="Q44" s="5">
        <v>114.7</v>
      </c>
      <c r="R44" s="5">
        <v>116.4</v>
      </c>
      <c r="S44" s="5">
        <v>113.3</v>
      </c>
      <c r="T44" s="5">
        <v>115.9</v>
      </c>
      <c r="U44" s="5">
        <v>112.5</v>
      </c>
      <c r="V44" s="5">
        <v>112.4</v>
      </c>
      <c r="W44" s="5">
        <v>112.8</v>
      </c>
      <c r="X44" s="5">
        <v>110.7</v>
      </c>
      <c r="Y44" s="5">
        <v>111.1</v>
      </c>
      <c r="Z44" s="5">
        <v>110.1</v>
      </c>
      <c r="AA44" s="5">
        <v>111.8</v>
      </c>
      <c r="AB44" s="5">
        <v>108.7</v>
      </c>
      <c r="AC44" s="5">
        <v>110.9</v>
      </c>
      <c r="AD44" s="5">
        <v>113.6</v>
      </c>
    </row>
    <row r="45" spans="1:30" x14ac:dyDescent="0.35">
      <c r="A45" s="5" t="s">
        <v>30</v>
      </c>
      <c r="B45" s="5">
        <v>2014</v>
      </c>
      <c r="C45" s="5" t="s">
        <v>36</v>
      </c>
      <c r="D45" s="11">
        <v>120.1</v>
      </c>
      <c r="E45" s="5">
        <v>118.1</v>
      </c>
      <c r="F45" s="5">
        <v>120.7</v>
      </c>
      <c r="G45" s="5">
        <v>116.1</v>
      </c>
      <c r="H45" s="5">
        <v>109.3</v>
      </c>
      <c r="I45" s="5">
        <v>119.6</v>
      </c>
      <c r="J45" s="5">
        <v>117.9</v>
      </c>
      <c r="K45" s="5">
        <v>110.2</v>
      </c>
      <c r="L45" s="5">
        <v>101.2</v>
      </c>
      <c r="M45" s="5">
        <v>110.7</v>
      </c>
      <c r="N45" s="5">
        <v>113</v>
      </c>
      <c r="O45" s="5">
        <v>118.3</v>
      </c>
      <c r="P45" s="5">
        <v>116.2</v>
      </c>
      <c r="Q45" s="5">
        <v>114.6</v>
      </c>
      <c r="R45" s="5">
        <v>117.5</v>
      </c>
      <c r="S45" s="5">
        <v>114.9</v>
      </c>
      <c r="T45" s="5">
        <v>117.2</v>
      </c>
      <c r="U45" s="5" t="s">
        <v>32</v>
      </c>
      <c r="V45" s="5">
        <v>113.4</v>
      </c>
      <c r="W45" s="5">
        <v>113.4</v>
      </c>
      <c r="X45" s="5">
        <v>111.4</v>
      </c>
      <c r="Y45" s="5">
        <v>111.2</v>
      </c>
      <c r="Z45" s="5">
        <v>110.2</v>
      </c>
      <c r="AA45" s="5">
        <v>112.4</v>
      </c>
      <c r="AB45" s="5">
        <v>108.9</v>
      </c>
      <c r="AC45" s="5">
        <v>111.3</v>
      </c>
      <c r="AD45" s="5">
        <v>114.6</v>
      </c>
    </row>
    <row r="46" spans="1:30" x14ac:dyDescent="0.35">
      <c r="A46" s="5" t="s">
        <v>33</v>
      </c>
      <c r="B46" s="5">
        <v>2014</v>
      </c>
      <c r="C46" s="5" t="s">
        <v>36</v>
      </c>
      <c r="D46" s="11">
        <v>122.1</v>
      </c>
      <c r="E46" s="5">
        <v>121.4</v>
      </c>
      <c r="F46" s="5">
        <v>121.5</v>
      </c>
      <c r="G46" s="5">
        <v>116.2</v>
      </c>
      <c r="H46" s="5">
        <v>102.8</v>
      </c>
      <c r="I46" s="5">
        <v>117.7</v>
      </c>
      <c r="J46" s="5">
        <v>113.3</v>
      </c>
      <c r="K46" s="5">
        <v>108.9</v>
      </c>
      <c r="L46" s="5">
        <v>96.3</v>
      </c>
      <c r="M46" s="5">
        <v>114.1</v>
      </c>
      <c r="N46" s="5">
        <v>112.2</v>
      </c>
      <c r="O46" s="5">
        <v>120.5</v>
      </c>
      <c r="P46" s="5">
        <v>116</v>
      </c>
      <c r="Q46" s="5">
        <v>116.7</v>
      </c>
      <c r="R46" s="5">
        <v>115.8</v>
      </c>
      <c r="S46" s="5">
        <v>112.1</v>
      </c>
      <c r="T46" s="5">
        <v>115.2</v>
      </c>
      <c r="U46" s="5">
        <v>113.2</v>
      </c>
      <c r="V46" s="5">
        <v>110.9</v>
      </c>
      <c r="W46" s="5">
        <v>113</v>
      </c>
      <c r="X46" s="5">
        <v>110.8</v>
      </c>
      <c r="Y46" s="5">
        <v>111.6</v>
      </c>
      <c r="Z46" s="5">
        <v>110.9</v>
      </c>
      <c r="AA46" s="5">
        <v>111.8</v>
      </c>
      <c r="AB46" s="5">
        <v>109.2</v>
      </c>
      <c r="AC46" s="5">
        <v>111.4</v>
      </c>
      <c r="AD46" s="5">
        <v>113.7</v>
      </c>
    </row>
    <row r="47" spans="1:30" x14ac:dyDescent="0.35">
      <c r="A47" s="5" t="s">
        <v>34</v>
      </c>
      <c r="B47" s="5">
        <v>2014</v>
      </c>
      <c r="C47" s="5" t="s">
        <v>47</v>
      </c>
      <c r="D47" s="11">
        <v>120.7</v>
      </c>
      <c r="E47" s="5">
        <v>119.3</v>
      </c>
      <c r="F47" s="5">
        <v>121</v>
      </c>
      <c r="G47" s="5">
        <v>116.1</v>
      </c>
      <c r="H47" s="5">
        <v>106.9</v>
      </c>
      <c r="I47" s="5">
        <v>118.7</v>
      </c>
      <c r="J47" s="5">
        <v>116.3</v>
      </c>
      <c r="K47" s="5">
        <v>109.8</v>
      </c>
      <c r="L47" s="5">
        <v>99.6</v>
      </c>
      <c r="M47" s="5">
        <v>111.8</v>
      </c>
      <c r="N47" s="5">
        <v>112.7</v>
      </c>
      <c r="O47" s="5">
        <v>119.3</v>
      </c>
      <c r="P47" s="5">
        <v>116.1</v>
      </c>
      <c r="Q47" s="5">
        <v>115.2</v>
      </c>
      <c r="R47" s="5">
        <v>116.8</v>
      </c>
      <c r="S47" s="5">
        <v>113.7</v>
      </c>
      <c r="T47" s="5">
        <v>116.4</v>
      </c>
      <c r="U47" s="5">
        <v>113.2</v>
      </c>
      <c r="V47" s="5">
        <v>112.5</v>
      </c>
      <c r="W47" s="5">
        <v>113.2</v>
      </c>
      <c r="X47" s="5">
        <v>111.2</v>
      </c>
      <c r="Y47" s="5">
        <v>111.4</v>
      </c>
      <c r="Z47" s="5">
        <v>110.6</v>
      </c>
      <c r="AA47" s="5">
        <v>112</v>
      </c>
      <c r="AB47" s="5">
        <v>109</v>
      </c>
      <c r="AC47" s="5">
        <v>111.3</v>
      </c>
      <c r="AD47" s="5">
        <v>114.2</v>
      </c>
    </row>
    <row r="48" spans="1:30" x14ac:dyDescent="0.35">
      <c r="A48" s="5" t="s">
        <v>30</v>
      </c>
      <c r="B48" s="5">
        <v>2014</v>
      </c>
      <c r="C48" s="5" t="s">
        <v>37</v>
      </c>
      <c r="D48" s="11">
        <v>120.2</v>
      </c>
      <c r="E48" s="5">
        <v>118.9</v>
      </c>
      <c r="F48" s="5">
        <v>118.1</v>
      </c>
      <c r="G48" s="5">
        <v>117</v>
      </c>
      <c r="H48" s="5">
        <v>109.7</v>
      </c>
      <c r="I48" s="5">
        <v>125.5</v>
      </c>
      <c r="J48" s="5">
        <v>120.5</v>
      </c>
      <c r="K48" s="5">
        <v>111</v>
      </c>
      <c r="L48" s="5">
        <v>102.6</v>
      </c>
      <c r="M48" s="5">
        <v>111.2</v>
      </c>
      <c r="N48" s="5">
        <v>113.5</v>
      </c>
      <c r="O48" s="5">
        <v>118.7</v>
      </c>
      <c r="P48" s="5">
        <v>117.2</v>
      </c>
      <c r="Q48" s="5">
        <v>115.4</v>
      </c>
      <c r="R48" s="5">
        <v>118.1</v>
      </c>
      <c r="S48" s="5">
        <v>116.1</v>
      </c>
      <c r="T48" s="5">
        <v>117.8</v>
      </c>
      <c r="U48" s="5" t="s">
        <v>32</v>
      </c>
      <c r="V48" s="5">
        <v>113.4</v>
      </c>
      <c r="W48" s="5">
        <v>113.7</v>
      </c>
      <c r="X48" s="5">
        <v>111.8</v>
      </c>
      <c r="Y48" s="5">
        <v>111.2</v>
      </c>
      <c r="Z48" s="5">
        <v>110.5</v>
      </c>
      <c r="AA48" s="5">
        <v>113</v>
      </c>
      <c r="AB48" s="5">
        <v>108.9</v>
      </c>
      <c r="AC48" s="5">
        <v>111.5</v>
      </c>
      <c r="AD48" s="5">
        <v>115.4</v>
      </c>
    </row>
    <row r="49" spans="1:30" x14ac:dyDescent="0.35">
      <c r="A49" s="5" t="s">
        <v>33</v>
      </c>
      <c r="B49" s="5">
        <v>2014</v>
      </c>
      <c r="C49" s="5" t="s">
        <v>37</v>
      </c>
      <c r="D49" s="11">
        <v>122.5</v>
      </c>
      <c r="E49" s="5">
        <v>121.7</v>
      </c>
      <c r="F49" s="5">
        <v>113.3</v>
      </c>
      <c r="G49" s="5">
        <v>117</v>
      </c>
      <c r="H49" s="5">
        <v>103.1</v>
      </c>
      <c r="I49" s="5">
        <v>126.7</v>
      </c>
      <c r="J49" s="5">
        <v>121.2</v>
      </c>
      <c r="K49" s="5">
        <v>111</v>
      </c>
      <c r="L49" s="5">
        <v>100.3</v>
      </c>
      <c r="M49" s="5">
        <v>115.3</v>
      </c>
      <c r="N49" s="5">
        <v>112.7</v>
      </c>
      <c r="O49" s="5">
        <v>121</v>
      </c>
      <c r="P49" s="5">
        <v>118.2</v>
      </c>
      <c r="Q49" s="5">
        <v>117.6</v>
      </c>
      <c r="R49" s="5">
        <v>116.3</v>
      </c>
      <c r="S49" s="5">
        <v>112.5</v>
      </c>
      <c r="T49" s="5">
        <v>115.7</v>
      </c>
      <c r="U49" s="5">
        <v>113.9</v>
      </c>
      <c r="V49" s="5">
        <v>110.9</v>
      </c>
      <c r="W49" s="5">
        <v>113.4</v>
      </c>
      <c r="X49" s="5">
        <v>111</v>
      </c>
      <c r="Y49" s="5">
        <v>111.2</v>
      </c>
      <c r="Z49" s="5">
        <v>111.2</v>
      </c>
      <c r="AA49" s="5">
        <v>112.5</v>
      </c>
      <c r="AB49" s="5">
        <v>109.1</v>
      </c>
      <c r="AC49" s="5">
        <v>111.4</v>
      </c>
      <c r="AD49" s="5">
        <v>114.7</v>
      </c>
    </row>
    <row r="50" spans="1:30" x14ac:dyDescent="0.35">
      <c r="A50" s="5" t="s">
        <v>34</v>
      </c>
      <c r="B50" s="5">
        <v>2014</v>
      </c>
      <c r="C50" s="5" t="s">
        <v>37</v>
      </c>
      <c r="D50" s="11">
        <v>120.9</v>
      </c>
      <c r="E50" s="5">
        <v>119.9</v>
      </c>
      <c r="F50" s="5">
        <v>116.2</v>
      </c>
      <c r="G50" s="5">
        <v>117</v>
      </c>
      <c r="H50" s="5">
        <v>107.3</v>
      </c>
      <c r="I50" s="5">
        <v>126.1</v>
      </c>
      <c r="J50" s="5">
        <v>120.7</v>
      </c>
      <c r="K50" s="5">
        <v>111</v>
      </c>
      <c r="L50" s="5">
        <v>101.8</v>
      </c>
      <c r="M50" s="5">
        <v>112.6</v>
      </c>
      <c r="N50" s="5">
        <v>113.2</v>
      </c>
      <c r="O50" s="5">
        <v>119.8</v>
      </c>
      <c r="P50" s="5">
        <v>117.6</v>
      </c>
      <c r="Q50" s="5">
        <v>116</v>
      </c>
      <c r="R50" s="5">
        <v>117.4</v>
      </c>
      <c r="S50" s="5">
        <v>114.6</v>
      </c>
      <c r="T50" s="5">
        <v>117</v>
      </c>
      <c r="U50" s="5">
        <v>113.9</v>
      </c>
      <c r="V50" s="5">
        <v>112.5</v>
      </c>
      <c r="W50" s="5">
        <v>113.6</v>
      </c>
      <c r="X50" s="5">
        <v>111.5</v>
      </c>
      <c r="Y50" s="5">
        <v>111.2</v>
      </c>
      <c r="Z50" s="5">
        <v>110.9</v>
      </c>
      <c r="AA50" s="5">
        <v>112.7</v>
      </c>
      <c r="AB50" s="5">
        <v>109</v>
      </c>
      <c r="AC50" s="5">
        <v>111.5</v>
      </c>
      <c r="AD50" s="5">
        <v>115.1</v>
      </c>
    </row>
    <row r="51" spans="1:30" x14ac:dyDescent="0.35">
      <c r="A51" s="5" t="s">
        <v>30</v>
      </c>
      <c r="B51" s="5">
        <v>2014</v>
      </c>
      <c r="C51" s="5" t="s">
        <v>38</v>
      </c>
      <c r="D51" s="11">
        <v>120.3</v>
      </c>
      <c r="E51" s="5">
        <v>120.2</v>
      </c>
      <c r="F51" s="5">
        <v>116.9</v>
      </c>
      <c r="G51" s="5">
        <v>118</v>
      </c>
      <c r="H51" s="5">
        <v>110.1</v>
      </c>
      <c r="I51" s="5">
        <v>126.3</v>
      </c>
      <c r="J51" s="5">
        <v>123.9</v>
      </c>
      <c r="K51" s="5">
        <v>111.5</v>
      </c>
      <c r="L51" s="5">
        <v>103.5</v>
      </c>
      <c r="M51" s="5">
        <v>111.6</v>
      </c>
      <c r="N51" s="5">
        <v>114.2</v>
      </c>
      <c r="O51" s="5">
        <v>119.2</v>
      </c>
      <c r="P51" s="5">
        <v>118.2</v>
      </c>
      <c r="Q51" s="5">
        <v>116.3</v>
      </c>
      <c r="R51" s="5">
        <v>118.7</v>
      </c>
      <c r="S51" s="5">
        <v>116.8</v>
      </c>
      <c r="T51" s="5">
        <v>118.5</v>
      </c>
      <c r="U51" s="5" t="s">
        <v>32</v>
      </c>
      <c r="V51" s="5">
        <v>113.4</v>
      </c>
      <c r="W51" s="5">
        <v>114.1</v>
      </c>
      <c r="X51" s="5">
        <v>112.1</v>
      </c>
      <c r="Y51" s="5">
        <v>111.4</v>
      </c>
      <c r="Z51" s="5">
        <v>110.9</v>
      </c>
      <c r="AA51" s="5">
        <v>113.1</v>
      </c>
      <c r="AB51" s="5">
        <v>108.9</v>
      </c>
      <c r="AC51" s="5">
        <v>111.8</v>
      </c>
      <c r="AD51" s="5">
        <v>116</v>
      </c>
    </row>
    <row r="52" spans="1:30" x14ac:dyDescent="0.35">
      <c r="A52" s="5" t="s">
        <v>33</v>
      </c>
      <c r="B52" s="5">
        <v>2014</v>
      </c>
      <c r="C52" s="5" t="s">
        <v>38</v>
      </c>
      <c r="D52" s="11">
        <v>122.7</v>
      </c>
      <c r="E52" s="5">
        <v>124.1</v>
      </c>
      <c r="F52" s="5">
        <v>114.2</v>
      </c>
      <c r="G52" s="5">
        <v>119.1</v>
      </c>
      <c r="H52" s="5">
        <v>103.5</v>
      </c>
      <c r="I52" s="5">
        <v>129.19999999999999</v>
      </c>
      <c r="J52" s="5">
        <v>127</v>
      </c>
      <c r="K52" s="5">
        <v>112.6</v>
      </c>
      <c r="L52" s="5">
        <v>101.3</v>
      </c>
      <c r="M52" s="5">
        <v>117</v>
      </c>
      <c r="N52" s="5">
        <v>112.9</v>
      </c>
      <c r="O52" s="5">
        <v>121.7</v>
      </c>
      <c r="P52" s="5">
        <v>120</v>
      </c>
      <c r="Q52" s="5">
        <v>118.3</v>
      </c>
      <c r="R52" s="5">
        <v>116.8</v>
      </c>
      <c r="S52" s="5">
        <v>112.9</v>
      </c>
      <c r="T52" s="5">
        <v>116.2</v>
      </c>
      <c r="U52" s="5">
        <v>114.3</v>
      </c>
      <c r="V52" s="5">
        <v>111.1</v>
      </c>
      <c r="W52" s="5">
        <v>114.1</v>
      </c>
      <c r="X52" s="5">
        <v>111.2</v>
      </c>
      <c r="Y52" s="5">
        <v>111.3</v>
      </c>
      <c r="Z52" s="5">
        <v>111.5</v>
      </c>
      <c r="AA52" s="5">
        <v>112.9</v>
      </c>
      <c r="AB52" s="5">
        <v>109.3</v>
      </c>
      <c r="AC52" s="5">
        <v>111.7</v>
      </c>
      <c r="AD52" s="5">
        <v>115.6</v>
      </c>
    </row>
    <row r="53" spans="1:30" x14ac:dyDescent="0.35">
      <c r="A53" s="5" t="s">
        <v>34</v>
      </c>
      <c r="B53" s="5">
        <v>2014</v>
      </c>
      <c r="C53" s="5" t="s">
        <v>38</v>
      </c>
      <c r="D53" s="11">
        <v>121.1</v>
      </c>
      <c r="E53" s="5">
        <v>121.6</v>
      </c>
      <c r="F53" s="5">
        <v>115.9</v>
      </c>
      <c r="G53" s="5">
        <v>118.4</v>
      </c>
      <c r="H53" s="5">
        <v>107.7</v>
      </c>
      <c r="I53" s="5">
        <v>127.7</v>
      </c>
      <c r="J53" s="5">
        <v>125</v>
      </c>
      <c r="K53" s="5">
        <v>111.9</v>
      </c>
      <c r="L53" s="5">
        <v>102.8</v>
      </c>
      <c r="M53" s="5">
        <v>113.4</v>
      </c>
      <c r="N53" s="5">
        <v>113.7</v>
      </c>
      <c r="O53" s="5">
        <v>120.4</v>
      </c>
      <c r="P53" s="5">
        <v>118.9</v>
      </c>
      <c r="Q53" s="5">
        <v>116.8</v>
      </c>
      <c r="R53" s="5">
        <v>118</v>
      </c>
      <c r="S53" s="5">
        <v>115.2</v>
      </c>
      <c r="T53" s="5">
        <v>117.6</v>
      </c>
      <c r="U53" s="5">
        <v>114.3</v>
      </c>
      <c r="V53" s="5">
        <v>112.5</v>
      </c>
      <c r="W53" s="5">
        <v>114.1</v>
      </c>
      <c r="X53" s="5">
        <v>111.8</v>
      </c>
      <c r="Y53" s="5">
        <v>111.3</v>
      </c>
      <c r="Z53" s="5">
        <v>111.2</v>
      </c>
      <c r="AA53" s="5">
        <v>113</v>
      </c>
      <c r="AB53" s="5">
        <v>109.1</v>
      </c>
      <c r="AC53" s="5">
        <v>111.8</v>
      </c>
      <c r="AD53" s="5">
        <v>115.8</v>
      </c>
    </row>
    <row r="54" spans="1:30" x14ac:dyDescent="0.35">
      <c r="A54" s="5" t="s">
        <v>30</v>
      </c>
      <c r="B54" s="5">
        <v>2014</v>
      </c>
      <c r="C54" s="5" t="s">
        <v>39</v>
      </c>
      <c r="D54" s="11">
        <v>120.7</v>
      </c>
      <c r="E54" s="5">
        <v>121.6</v>
      </c>
      <c r="F54" s="5">
        <v>116.1</v>
      </c>
      <c r="G54" s="5">
        <v>119.3</v>
      </c>
      <c r="H54" s="5">
        <v>110.3</v>
      </c>
      <c r="I54" s="5">
        <v>125.8</v>
      </c>
      <c r="J54" s="5">
        <v>129.30000000000001</v>
      </c>
      <c r="K54" s="5">
        <v>112.2</v>
      </c>
      <c r="L54" s="5">
        <v>103.6</v>
      </c>
      <c r="M54" s="5">
        <v>112.3</v>
      </c>
      <c r="N54" s="5">
        <v>114.9</v>
      </c>
      <c r="O54" s="5">
        <v>120.1</v>
      </c>
      <c r="P54" s="5">
        <v>119.5</v>
      </c>
      <c r="Q54" s="5">
        <v>117.3</v>
      </c>
      <c r="R54" s="5">
        <v>119.7</v>
      </c>
      <c r="S54" s="5">
        <v>117.3</v>
      </c>
      <c r="T54" s="5">
        <v>119.3</v>
      </c>
      <c r="U54" s="5" t="s">
        <v>32</v>
      </c>
      <c r="V54" s="5">
        <v>114.4</v>
      </c>
      <c r="W54" s="5">
        <v>114.9</v>
      </c>
      <c r="X54" s="5">
        <v>112.8</v>
      </c>
      <c r="Y54" s="5">
        <v>112.2</v>
      </c>
      <c r="Z54" s="5">
        <v>111.4</v>
      </c>
      <c r="AA54" s="5">
        <v>114.3</v>
      </c>
      <c r="AB54" s="5">
        <v>108</v>
      </c>
      <c r="AC54" s="5">
        <v>112.3</v>
      </c>
      <c r="AD54" s="5">
        <v>117</v>
      </c>
    </row>
    <row r="55" spans="1:30" x14ac:dyDescent="0.35">
      <c r="A55" s="5" t="s">
        <v>33</v>
      </c>
      <c r="B55" s="5">
        <v>2014</v>
      </c>
      <c r="C55" s="5" t="s">
        <v>39</v>
      </c>
      <c r="D55" s="11">
        <v>123.1</v>
      </c>
      <c r="E55" s="5">
        <v>125.9</v>
      </c>
      <c r="F55" s="5">
        <v>115.4</v>
      </c>
      <c r="G55" s="5">
        <v>120.4</v>
      </c>
      <c r="H55" s="5">
        <v>103.4</v>
      </c>
      <c r="I55" s="5">
        <v>131.19999999999999</v>
      </c>
      <c r="J55" s="5">
        <v>137.5</v>
      </c>
      <c r="K55" s="5">
        <v>112.8</v>
      </c>
      <c r="L55" s="5">
        <v>101.4</v>
      </c>
      <c r="M55" s="5">
        <v>118.3</v>
      </c>
      <c r="N55" s="5">
        <v>113.2</v>
      </c>
      <c r="O55" s="5">
        <v>122.4</v>
      </c>
      <c r="P55" s="5">
        <v>122</v>
      </c>
      <c r="Q55" s="5">
        <v>119</v>
      </c>
      <c r="R55" s="5">
        <v>117.4</v>
      </c>
      <c r="S55" s="5">
        <v>113.2</v>
      </c>
      <c r="T55" s="5">
        <v>116.7</v>
      </c>
      <c r="U55" s="5">
        <v>113.9</v>
      </c>
      <c r="V55" s="5">
        <v>111.2</v>
      </c>
      <c r="W55" s="5">
        <v>114.3</v>
      </c>
      <c r="X55" s="5">
        <v>111.4</v>
      </c>
      <c r="Y55" s="5">
        <v>111.5</v>
      </c>
      <c r="Z55" s="5">
        <v>111.8</v>
      </c>
      <c r="AA55" s="5">
        <v>115.1</v>
      </c>
      <c r="AB55" s="5">
        <v>108.7</v>
      </c>
      <c r="AC55" s="5">
        <v>112.2</v>
      </c>
      <c r="AD55" s="5">
        <v>116.4</v>
      </c>
    </row>
    <row r="56" spans="1:30" x14ac:dyDescent="0.35">
      <c r="A56" s="5" t="s">
        <v>34</v>
      </c>
      <c r="B56" s="5">
        <v>2014</v>
      </c>
      <c r="C56" s="5" t="s">
        <v>39</v>
      </c>
      <c r="D56" s="11">
        <v>121.5</v>
      </c>
      <c r="E56" s="5">
        <v>123.1</v>
      </c>
      <c r="F56" s="5">
        <v>115.8</v>
      </c>
      <c r="G56" s="5">
        <v>119.7</v>
      </c>
      <c r="H56" s="5">
        <v>107.8</v>
      </c>
      <c r="I56" s="5">
        <v>128.30000000000001</v>
      </c>
      <c r="J56" s="5">
        <v>132.1</v>
      </c>
      <c r="K56" s="5">
        <v>112.4</v>
      </c>
      <c r="L56" s="5">
        <v>102.9</v>
      </c>
      <c r="M56" s="5">
        <v>114.3</v>
      </c>
      <c r="N56" s="5">
        <v>114.2</v>
      </c>
      <c r="O56" s="5">
        <v>121.2</v>
      </c>
      <c r="P56" s="5">
        <v>120.4</v>
      </c>
      <c r="Q56" s="5">
        <v>117.8</v>
      </c>
      <c r="R56" s="5">
        <v>118.8</v>
      </c>
      <c r="S56" s="5">
        <v>115.6</v>
      </c>
      <c r="T56" s="5">
        <v>118.3</v>
      </c>
      <c r="U56" s="5">
        <v>113.9</v>
      </c>
      <c r="V56" s="5">
        <v>113.2</v>
      </c>
      <c r="W56" s="5">
        <v>114.6</v>
      </c>
      <c r="X56" s="5">
        <v>112.3</v>
      </c>
      <c r="Y56" s="5">
        <v>111.8</v>
      </c>
      <c r="Z56" s="5">
        <v>111.6</v>
      </c>
      <c r="AA56" s="5">
        <v>114.8</v>
      </c>
      <c r="AB56" s="5">
        <v>108.3</v>
      </c>
      <c r="AC56" s="5">
        <v>112.3</v>
      </c>
      <c r="AD56" s="5">
        <v>116.7</v>
      </c>
    </row>
    <row r="57" spans="1:30" x14ac:dyDescent="0.35">
      <c r="A57" s="5" t="s">
        <v>30</v>
      </c>
      <c r="B57" s="5">
        <v>2014</v>
      </c>
      <c r="C57" s="5" t="s">
        <v>40</v>
      </c>
      <c r="D57" s="11">
        <v>121.7</v>
      </c>
      <c r="E57" s="5">
        <v>122.5</v>
      </c>
      <c r="F57" s="5">
        <v>117.7</v>
      </c>
      <c r="G57" s="5">
        <v>120.6</v>
      </c>
      <c r="H57" s="5">
        <v>110.4</v>
      </c>
      <c r="I57" s="5">
        <v>129.1</v>
      </c>
      <c r="J57" s="5">
        <v>150.1</v>
      </c>
      <c r="K57" s="5">
        <v>113.2</v>
      </c>
      <c r="L57" s="5">
        <v>104.8</v>
      </c>
      <c r="M57" s="5">
        <v>113.3</v>
      </c>
      <c r="N57" s="5">
        <v>115.6</v>
      </c>
      <c r="O57" s="5">
        <v>120.9</v>
      </c>
      <c r="P57" s="5">
        <v>123.3</v>
      </c>
      <c r="Q57" s="5">
        <v>118</v>
      </c>
      <c r="R57" s="5">
        <v>120.7</v>
      </c>
      <c r="S57" s="5">
        <v>118.3</v>
      </c>
      <c r="T57" s="5">
        <v>120.3</v>
      </c>
      <c r="U57" s="5" t="s">
        <v>32</v>
      </c>
      <c r="V57" s="5">
        <v>115.3</v>
      </c>
      <c r="W57" s="5">
        <v>115.4</v>
      </c>
      <c r="X57" s="5">
        <v>113.4</v>
      </c>
      <c r="Y57" s="5">
        <v>113.2</v>
      </c>
      <c r="Z57" s="5">
        <v>111.8</v>
      </c>
      <c r="AA57" s="5">
        <v>115.5</v>
      </c>
      <c r="AB57" s="5">
        <v>108.8</v>
      </c>
      <c r="AC57" s="5">
        <v>113.1</v>
      </c>
      <c r="AD57" s="5">
        <v>119.5</v>
      </c>
    </row>
    <row r="58" spans="1:30" x14ac:dyDescent="0.35">
      <c r="A58" s="5" t="s">
        <v>33</v>
      </c>
      <c r="B58" s="5">
        <v>2014</v>
      </c>
      <c r="C58" s="5" t="s">
        <v>40</v>
      </c>
      <c r="D58" s="11">
        <v>123.8</v>
      </c>
      <c r="E58" s="5">
        <v>126.4</v>
      </c>
      <c r="F58" s="5">
        <v>118</v>
      </c>
      <c r="G58" s="5">
        <v>121.6</v>
      </c>
      <c r="H58" s="5">
        <v>103.5</v>
      </c>
      <c r="I58" s="5">
        <v>133.69999999999999</v>
      </c>
      <c r="J58" s="5">
        <v>172.4</v>
      </c>
      <c r="K58" s="5">
        <v>113.1</v>
      </c>
      <c r="L58" s="5">
        <v>102.7</v>
      </c>
      <c r="M58" s="5">
        <v>120</v>
      </c>
      <c r="N58" s="5">
        <v>113.8</v>
      </c>
      <c r="O58" s="5">
        <v>123.4</v>
      </c>
      <c r="P58" s="5">
        <v>127.1</v>
      </c>
      <c r="Q58" s="5">
        <v>121</v>
      </c>
      <c r="R58" s="5">
        <v>118</v>
      </c>
      <c r="S58" s="5">
        <v>113.6</v>
      </c>
      <c r="T58" s="5">
        <v>117.4</v>
      </c>
      <c r="U58" s="5">
        <v>114.8</v>
      </c>
      <c r="V58" s="5">
        <v>111.6</v>
      </c>
      <c r="W58" s="5">
        <v>114.9</v>
      </c>
      <c r="X58" s="5">
        <v>111.5</v>
      </c>
      <c r="Y58" s="5">
        <v>113</v>
      </c>
      <c r="Z58" s="5">
        <v>112.4</v>
      </c>
      <c r="AA58" s="5">
        <v>117.8</v>
      </c>
      <c r="AB58" s="5">
        <v>109.7</v>
      </c>
      <c r="AC58" s="5">
        <v>113.5</v>
      </c>
      <c r="AD58" s="5">
        <v>118.9</v>
      </c>
    </row>
    <row r="59" spans="1:30" x14ac:dyDescent="0.35">
      <c r="A59" s="5" t="s">
        <v>34</v>
      </c>
      <c r="B59" s="5">
        <v>2014</v>
      </c>
      <c r="C59" s="5" t="s">
        <v>40</v>
      </c>
      <c r="D59" s="11">
        <v>122.4</v>
      </c>
      <c r="E59" s="5">
        <v>123.9</v>
      </c>
      <c r="F59" s="5">
        <v>117.8</v>
      </c>
      <c r="G59" s="5">
        <v>121</v>
      </c>
      <c r="H59" s="5">
        <v>107.9</v>
      </c>
      <c r="I59" s="5">
        <v>131.19999999999999</v>
      </c>
      <c r="J59" s="5">
        <v>157.69999999999999</v>
      </c>
      <c r="K59" s="5">
        <v>113.2</v>
      </c>
      <c r="L59" s="5">
        <v>104.1</v>
      </c>
      <c r="M59" s="5">
        <v>115.5</v>
      </c>
      <c r="N59" s="5">
        <v>114.8</v>
      </c>
      <c r="O59" s="5">
        <v>122.1</v>
      </c>
      <c r="P59" s="5">
        <v>124.7</v>
      </c>
      <c r="Q59" s="5">
        <v>118.8</v>
      </c>
      <c r="R59" s="5">
        <v>119.6</v>
      </c>
      <c r="S59" s="5">
        <v>116.3</v>
      </c>
      <c r="T59" s="5">
        <v>119.1</v>
      </c>
      <c r="U59" s="5">
        <v>114.8</v>
      </c>
      <c r="V59" s="5">
        <v>113.9</v>
      </c>
      <c r="W59" s="5">
        <v>115.2</v>
      </c>
      <c r="X59" s="5">
        <v>112.7</v>
      </c>
      <c r="Y59" s="5">
        <v>113.1</v>
      </c>
      <c r="Z59" s="5">
        <v>112.1</v>
      </c>
      <c r="AA59" s="5">
        <v>116.8</v>
      </c>
      <c r="AB59" s="5">
        <v>109.2</v>
      </c>
      <c r="AC59" s="5">
        <v>113.3</v>
      </c>
      <c r="AD59" s="5">
        <v>119.2</v>
      </c>
    </row>
    <row r="60" spans="1:30" x14ac:dyDescent="0.35">
      <c r="A60" s="5" t="s">
        <v>30</v>
      </c>
      <c r="B60" s="5">
        <v>2014</v>
      </c>
      <c r="C60" s="5" t="s">
        <v>41</v>
      </c>
      <c r="D60" s="11">
        <v>121.8</v>
      </c>
      <c r="E60" s="5">
        <v>122.8</v>
      </c>
      <c r="F60" s="5">
        <v>117.8</v>
      </c>
      <c r="G60" s="5">
        <v>121.9</v>
      </c>
      <c r="H60" s="5">
        <v>110.6</v>
      </c>
      <c r="I60" s="5">
        <v>129.69999999999999</v>
      </c>
      <c r="J60" s="5">
        <v>161.1</v>
      </c>
      <c r="K60" s="5">
        <v>114.1</v>
      </c>
      <c r="L60" s="5">
        <v>105.1</v>
      </c>
      <c r="M60" s="5">
        <v>114.6</v>
      </c>
      <c r="N60" s="5">
        <v>115.8</v>
      </c>
      <c r="O60" s="5">
        <v>121.7</v>
      </c>
      <c r="P60" s="5">
        <v>125.3</v>
      </c>
      <c r="Q60" s="5">
        <v>118.8</v>
      </c>
      <c r="R60" s="5">
        <v>120.9</v>
      </c>
      <c r="S60" s="5">
        <v>118.8</v>
      </c>
      <c r="T60" s="5">
        <v>120.7</v>
      </c>
      <c r="U60" s="5" t="s">
        <v>32</v>
      </c>
      <c r="V60" s="5">
        <v>115.4</v>
      </c>
      <c r="W60" s="5">
        <v>115.9</v>
      </c>
      <c r="X60" s="5">
        <v>114</v>
      </c>
      <c r="Y60" s="5">
        <v>113.2</v>
      </c>
      <c r="Z60" s="5">
        <v>112.2</v>
      </c>
      <c r="AA60" s="5">
        <v>116.2</v>
      </c>
      <c r="AB60" s="5">
        <v>109.4</v>
      </c>
      <c r="AC60" s="5">
        <v>113.5</v>
      </c>
      <c r="AD60" s="5">
        <v>120.7</v>
      </c>
    </row>
    <row r="61" spans="1:30" x14ac:dyDescent="0.35">
      <c r="A61" s="5" t="s">
        <v>33</v>
      </c>
      <c r="B61" s="5">
        <v>2014</v>
      </c>
      <c r="C61" s="5" t="s">
        <v>41</v>
      </c>
      <c r="D61" s="11">
        <v>124.8</v>
      </c>
      <c r="E61" s="5">
        <v>127.3</v>
      </c>
      <c r="F61" s="5">
        <v>116.5</v>
      </c>
      <c r="G61" s="5">
        <v>122.2</v>
      </c>
      <c r="H61" s="5">
        <v>103.6</v>
      </c>
      <c r="I61" s="5">
        <v>132.69999999999999</v>
      </c>
      <c r="J61" s="5">
        <v>181.9</v>
      </c>
      <c r="K61" s="5">
        <v>115.2</v>
      </c>
      <c r="L61" s="5">
        <v>102.7</v>
      </c>
      <c r="M61" s="5">
        <v>122.1</v>
      </c>
      <c r="N61" s="5">
        <v>114.4</v>
      </c>
      <c r="O61" s="5">
        <v>124.7</v>
      </c>
      <c r="P61" s="5">
        <v>128.9</v>
      </c>
      <c r="Q61" s="5">
        <v>123</v>
      </c>
      <c r="R61" s="5">
        <v>118.6</v>
      </c>
      <c r="S61" s="5">
        <v>114.1</v>
      </c>
      <c r="T61" s="5">
        <v>117.9</v>
      </c>
      <c r="U61" s="5">
        <v>115.5</v>
      </c>
      <c r="V61" s="5">
        <v>111.8</v>
      </c>
      <c r="W61" s="5">
        <v>115.3</v>
      </c>
      <c r="X61" s="5">
        <v>112.2</v>
      </c>
      <c r="Y61" s="5">
        <v>112.5</v>
      </c>
      <c r="Z61" s="5">
        <v>112.9</v>
      </c>
      <c r="AA61" s="5">
        <v>119.2</v>
      </c>
      <c r="AB61" s="5">
        <v>110.5</v>
      </c>
      <c r="AC61" s="5">
        <v>113.9</v>
      </c>
      <c r="AD61" s="5">
        <v>119.9</v>
      </c>
    </row>
    <row r="62" spans="1:30" x14ac:dyDescent="0.35">
      <c r="A62" s="5" t="s">
        <v>34</v>
      </c>
      <c r="B62" s="5">
        <v>2014</v>
      </c>
      <c r="C62" s="5" t="s">
        <v>41</v>
      </c>
      <c r="D62" s="11">
        <v>122.7</v>
      </c>
      <c r="E62" s="5">
        <v>124.4</v>
      </c>
      <c r="F62" s="5">
        <v>117.3</v>
      </c>
      <c r="G62" s="5">
        <v>122</v>
      </c>
      <c r="H62" s="5">
        <v>108</v>
      </c>
      <c r="I62" s="5">
        <v>131.1</v>
      </c>
      <c r="J62" s="5">
        <v>168.2</v>
      </c>
      <c r="K62" s="5">
        <v>114.5</v>
      </c>
      <c r="L62" s="5">
        <v>104.3</v>
      </c>
      <c r="M62" s="5">
        <v>117.1</v>
      </c>
      <c r="N62" s="5">
        <v>115.2</v>
      </c>
      <c r="O62" s="5">
        <v>123.1</v>
      </c>
      <c r="P62" s="5">
        <v>126.6</v>
      </c>
      <c r="Q62" s="5">
        <v>119.9</v>
      </c>
      <c r="R62" s="5">
        <v>120</v>
      </c>
      <c r="S62" s="5">
        <v>116.8</v>
      </c>
      <c r="T62" s="5">
        <v>119.6</v>
      </c>
      <c r="U62" s="5">
        <v>115.5</v>
      </c>
      <c r="V62" s="5">
        <v>114</v>
      </c>
      <c r="W62" s="5">
        <v>115.6</v>
      </c>
      <c r="X62" s="5">
        <v>113.3</v>
      </c>
      <c r="Y62" s="5">
        <v>112.8</v>
      </c>
      <c r="Z62" s="5">
        <v>112.6</v>
      </c>
      <c r="AA62" s="5">
        <v>118</v>
      </c>
      <c r="AB62" s="5">
        <v>109.9</v>
      </c>
      <c r="AC62" s="5">
        <v>113.7</v>
      </c>
      <c r="AD62" s="5">
        <v>120.3</v>
      </c>
    </row>
    <row r="63" spans="1:30" x14ac:dyDescent="0.35">
      <c r="A63" s="5" t="s">
        <v>30</v>
      </c>
      <c r="B63" s="5">
        <v>2014</v>
      </c>
      <c r="C63" s="5" t="s">
        <v>42</v>
      </c>
      <c r="D63" s="11">
        <v>122.3</v>
      </c>
      <c r="E63" s="5">
        <v>122.4</v>
      </c>
      <c r="F63" s="5">
        <v>117.8</v>
      </c>
      <c r="G63" s="5">
        <v>122.7</v>
      </c>
      <c r="H63" s="5">
        <v>110.4</v>
      </c>
      <c r="I63" s="5">
        <v>129.80000000000001</v>
      </c>
      <c r="J63" s="5">
        <v>158.80000000000001</v>
      </c>
      <c r="K63" s="5">
        <v>115</v>
      </c>
      <c r="L63" s="5">
        <v>104.7</v>
      </c>
      <c r="M63" s="5">
        <v>114.9</v>
      </c>
      <c r="N63" s="5">
        <v>116.5</v>
      </c>
      <c r="O63" s="5">
        <v>122.6</v>
      </c>
      <c r="P63" s="5">
        <v>125.3</v>
      </c>
      <c r="Q63" s="5">
        <v>119.5</v>
      </c>
      <c r="R63" s="5">
        <v>121.7</v>
      </c>
      <c r="S63" s="5">
        <v>119.2</v>
      </c>
      <c r="T63" s="5">
        <v>121.3</v>
      </c>
      <c r="U63" s="5" t="s">
        <v>32</v>
      </c>
      <c r="V63" s="5">
        <v>115.8</v>
      </c>
      <c r="W63" s="5">
        <v>116.7</v>
      </c>
      <c r="X63" s="5">
        <v>114.5</v>
      </c>
      <c r="Y63" s="5">
        <v>112.8</v>
      </c>
      <c r="Z63" s="5">
        <v>112.6</v>
      </c>
      <c r="AA63" s="5">
        <v>116.6</v>
      </c>
      <c r="AB63" s="5">
        <v>109.1</v>
      </c>
      <c r="AC63" s="5">
        <v>113.7</v>
      </c>
      <c r="AD63" s="5">
        <v>120.9</v>
      </c>
    </row>
    <row r="64" spans="1:30" x14ac:dyDescent="0.35">
      <c r="A64" s="5" t="s">
        <v>33</v>
      </c>
      <c r="B64" s="5">
        <v>2014</v>
      </c>
      <c r="C64" s="5" t="s">
        <v>42</v>
      </c>
      <c r="D64" s="11">
        <v>124.2</v>
      </c>
      <c r="E64" s="5">
        <v>125.4</v>
      </c>
      <c r="F64" s="5">
        <v>116.4</v>
      </c>
      <c r="G64" s="5">
        <v>122.7</v>
      </c>
      <c r="H64" s="5">
        <v>103.5</v>
      </c>
      <c r="I64" s="5">
        <v>124.5</v>
      </c>
      <c r="J64" s="5">
        <v>168.6</v>
      </c>
      <c r="K64" s="5">
        <v>116.9</v>
      </c>
      <c r="L64" s="5">
        <v>101.9</v>
      </c>
      <c r="M64" s="5">
        <v>122.9</v>
      </c>
      <c r="N64" s="5">
        <v>114.8</v>
      </c>
      <c r="O64" s="5">
        <v>125.2</v>
      </c>
      <c r="P64" s="5">
        <v>126.7</v>
      </c>
      <c r="Q64" s="5">
        <v>124.3</v>
      </c>
      <c r="R64" s="5">
        <v>119.2</v>
      </c>
      <c r="S64" s="5">
        <v>114.5</v>
      </c>
      <c r="T64" s="5">
        <v>118.4</v>
      </c>
      <c r="U64" s="5">
        <v>116.1</v>
      </c>
      <c r="V64" s="5">
        <v>111.8</v>
      </c>
      <c r="W64" s="5">
        <v>115.5</v>
      </c>
      <c r="X64" s="5">
        <v>112.3</v>
      </c>
      <c r="Y64" s="5">
        <v>111.2</v>
      </c>
      <c r="Z64" s="5">
        <v>113.4</v>
      </c>
      <c r="AA64" s="5">
        <v>120</v>
      </c>
      <c r="AB64" s="5">
        <v>110</v>
      </c>
      <c r="AC64" s="5">
        <v>113.6</v>
      </c>
      <c r="AD64" s="5">
        <v>119.2</v>
      </c>
    </row>
    <row r="65" spans="1:30" x14ac:dyDescent="0.35">
      <c r="A65" s="5" t="s">
        <v>34</v>
      </c>
      <c r="B65" s="5">
        <v>2014</v>
      </c>
      <c r="C65" s="5" t="s">
        <v>42</v>
      </c>
      <c r="D65" s="11">
        <v>122.9</v>
      </c>
      <c r="E65" s="5">
        <v>123.5</v>
      </c>
      <c r="F65" s="5">
        <v>117.3</v>
      </c>
      <c r="G65" s="5">
        <v>122.7</v>
      </c>
      <c r="H65" s="5">
        <v>107.9</v>
      </c>
      <c r="I65" s="5">
        <v>127.3</v>
      </c>
      <c r="J65" s="5">
        <v>162.1</v>
      </c>
      <c r="K65" s="5">
        <v>115.6</v>
      </c>
      <c r="L65" s="5">
        <v>103.8</v>
      </c>
      <c r="M65" s="5">
        <v>117.6</v>
      </c>
      <c r="N65" s="5">
        <v>115.8</v>
      </c>
      <c r="O65" s="5">
        <v>123.8</v>
      </c>
      <c r="P65" s="5">
        <v>125.8</v>
      </c>
      <c r="Q65" s="5">
        <v>120.8</v>
      </c>
      <c r="R65" s="5">
        <v>120.7</v>
      </c>
      <c r="S65" s="5">
        <v>117.2</v>
      </c>
      <c r="T65" s="5">
        <v>120.1</v>
      </c>
      <c r="U65" s="5">
        <v>116.1</v>
      </c>
      <c r="V65" s="5">
        <v>114.3</v>
      </c>
      <c r="W65" s="5">
        <v>116.1</v>
      </c>
      <c r="X65" s="5">
        <v>113.7</v>
      </c>
      <c r="Y65" s="5">
        <v>112</v>
      </c>
      <c r="Z65" s="5">
        <v>113.1</v>
      </c>
      <c r="AA65" s="5">
        <v>118.6</v>
      </c>
      <c r="AB65" s="5">
        <v>109.5</v>
      </c>
      <c r="AC65" s="5">
        <v>113.7</v>
      </c>
      <c r="AD65" s="5">
        <v>120.1</v>
      </c>
    </row>
    <row r="66" spans="1:30" x14ac:dyDescent="0.35">
      <c r="A66" s="5" t="s">
        <v>30</v>
      </c>
      <c r="B66" s="5">
        <v>2014</v>
      </c>
      <c r="C66" s="5" t="s">
        <v>43</v>
      </c>
      <c r="D66" s="11">
        <v>122.6</v>
      </c>
      <c r="E66" s="5">
        <v>122.5</v>
      </c>
      <c r="F66" s="5">
        <v>118.3</v>
      </c>
      <c r="G66" s="5">
        <v>123.2</v>
      </c>
      <c r="H66" s="5">
        <v>110.5</v>
      </c>
      <c r="I66" s="5">
        <v>128.9</v>
      </c>
      <c r="J66" s="5">
        <v>155.30000000000001</v>
      </c>
      <c r="K66" s="5">
        <v>115.5</v>
      </c>
      <c r="L66" s="5">
        <v>104</v>
      </c>
      <c r="M66" s="5">
        <v>115.3</v>
      </c>
      <c r="N66" s="5">
        <v>116.8</v>
      </c>
      <c r="O66" s="5">
        <v>123.2</v>
      </c>
      <c r="P66" s="5">
        <v>125.1</v>
      </c>
      <c r="Q66" s="5">
        <v>120</v>
      </c>
      <c r="R66" s="5">
        <v>122.7</v>
      </c>
      <c r="S66" s="5">
        <v>120.3</v>
      </c>
      <c r="T66" s="5">
        <v>122.3</v>
      </c>
      <c r="U66" s="5" t="s">
        <v>32</v>
      </c>
      <c r="V66" s="5">
        <v>116.4</v>
      </c>
      <c r="W66" s="5">
        <v>117.5</v>
      </c>
      <c r="X66" s="5">
        <v>115.3</v>
      </c>
      <c r="Y66" s="5">
        <v>112.6</v>
      </c>
      <c r="Z66" s="5">
        <v>113</v>
      </c>
      <c r="AA66" s="5">
        <v>116.9</v>
      </c>
      <c r="AB66" s="5">
        <v>109.3</v>
      </c>
      <c r="AC66" s="5">
        <v>114</v>
      </c>
      <c r="AD66" s="5">
        <v>121</v>
      </c>
    </row>
    <row r="67" spans="1:30" x14ac:dyDescent="0.35">
      <c r="A67" s="5" t="s">
        <v>33</v>
      </c>
      <c r="B67" s="5">
        <v>2014</v>
      </c>
      <c r="C67" s="5" t="s">
        <v>43</v>
      </c>
      <c r="D67" s="11">
        <v>124.6</v>
      </c>
      <c r="E67" s="5">
        <v>126.1</v>
      </c>
      <c r="F67" s="5">
        <v>117.8</v>
      </c>
      <c r="G67" s="5">
        <v>123.1</v>
      </c>
      <c r="H67" s="5">
        <v>103.5</v>
      </c>
      <c r="I67" s="5">
        <v>123.5</v>
      </c>
      <c r="J67" s="5">
        <v>159.6</v>
      </c>
      <c r="K67" s="5">
        <v>117.4</v>
      </c>
      <c r="L67" s="5">
        <v>101.2</v>
      </c>
      <c r="M67" s="5">
        <v>123.8</v>
      </c>
      <c r="N67" s="5">
        <v>115.2</v>
      </c>
      <c r="O67" s="5">
        <v>125.9</v>
      </c>
      <c r="P67" s="5">
        <v>125.8</v>
      </c>
      <c r="Q67" s="5">
        <v>124.3</v>
      </c>
      <c r="R67" s="5">
        <v>119.6</v>
      </c>
      <c r="S67" s="5">
        <v>114.9</v>
      </c>
      <c r="T67" s="5">
        <v>118.9</v>
      </c>
      <c r="U67" s="5">
        <v>116.7</v>
      </c>
      <c r="V67" s="5">
        <v>112</v>
      </c>
      <c r="W67" s="5">
        <v>115.8</v>
      </c>
      <c r="X67" s="5">
        <v>112.6</v>
      </c>
      <c r="Y67" s="5">
        <v>111</v>
      </c>
      <c r="Z67" s="5">
        <v>113.6</v>
      </c>
      <c r="AA67" s="5">
        <v>120.2</v>
      </c>
      <c r="AB67" s="5">
        <v>110.1</v>
      </c>
      <c r="AC67" s="5">
        <v>113.7</v>
      </c>
      <c r="AD67" s="5">
        <v>119.1</v>
      </c>
    </row>
    <row r="68" spans="1:30" x14ac:dyDescent="0.35">
      <c r="A68" s="5" t="s">
        <v>34</v>
      </c>
      <c r="B68" s="5">
        <v>2014</v>
      </c>
      <c r="C68" s="5" t="s">
        <v>43</v>
      </c>
      <c r="D68" s="11">
        <v>123.2</v>
      </c>
      <c r="E68" s="5">
        <v>123.8</v>
      </c>
      <c r="F68" s="5">
        <v>118.1</v>
      </c>
      <c r="G68" s="5">
        <v>123.2</v>
      </c>
      <c r="H68" s="5">
        <v>107.9</v>
      </c>
      <c r="I68" s="5">
        <v>126.4</v>
      </c>
      <c r="J68" s="5">
        <v>156.80000000000001</v>
      </c>
      <c r="K68" s="5">
        <v>116.1</v>
      </c>
      <c r="L68" s="5">
        <v>103.1</v>
      </c>
      <c r="M68" s="5">
        <v>118.1</v>
      </c>
      <c r="N68" s="5">
        <v>116.1</v>
      </c>
      <c r="O68" s="5">
        <v>124.5</v>
      </c>
      <c r="P68" s="5">
        <v>125.4</v>
      </c>
      <c r="Q68" s="5">
        <v>121.1</v>
      </c>
      <c r="R68" s="5">
        <v>121.5</v>
      </c>
      <c r="S68" s="5">
        <v>118.1</v>
      </c>
      <c r="T68" s="5">
        <v>121</v>
      </c>
      <c r="U68" s="5">
        <v>116.7</v>
      </c>
      <c r="V68" s="5">
        <v>114.7</v>
      </c>
      <c r="W68" s="5">
        <v>116.7</v>
      </c>
      <c r="X68" s="5">
        <v>114.3</v>
      </c>
      <c r="Y68" s="5">
        <v>111.8</v>
      </c>
      <c r="Z68" s="5">
        <v>113.3</v>
      </c>
      <c r="AA68" s="5">
        <v>118.8</v>
      </c>
      <c r="AB68" s="5">
        <v>109.6</v>
      </c>
      <c r="AC68" s="5">
        <v>113.9</v>
      </c>
      <c r="AD68" s="5">
        <v>120.1</v>
      </c>
    </row>
    <row r="69" spans="1:30" x14ac:dyDescent="0.35">
      <c r="A69" s="5" t="s">
        <v>30</v>
      </c>
      <c r="B69" s="5">
        <v>2014</v>
      </c>
      <c r="C69" s="5" t="s">
        <v>45</v>
      </c>
      <c r="D69" s="11">
        <v>122.7</v>
      </c>
      <c r="E69" s="5">
        <v>122.6</v>
      </c>
      <c r="F69" s="5">
        <v>119.9</v>
      </c>
      <c r="G69" s="5">
        <v>124</v>
      </c>
      <c r="H69" s="5">
        <v>110.5</v>
      </c>
      <c r="I69" s="5">
        <v>128.80000000000001</v>
      </c>
      <c r="J69" s="5">
        <v>152</v>
      </c>
      <c r="K69" s="5">
        <v>116.2</v>
      </c>
      <c r="L69" s="5">
        <v>103.3</v>
      </c>
      <c r="M69" s="5">
        <v>115.8</v>
      </c>
      <c r="N69" s="5">
        <v>116.8</v>
      </c>
      <c r="O69" s="5">
        <v>124.5</v>
      </c>
      <c r="P69" s="5">
        <v>124.9</v>
      </c>
      <c r="Q69" s="5">
        <v>120.8</v>
      </c>
      <c r="R69" s="5">
        <v>123.3</v>
      </c>
      <c r="S69" s="5">
        <v>120.5</v>
      </c>
      <c r="T69" s="5">
        <v>122.9</v>
      </c>
      <c r="U69" s="5" t="s">
        <v>32</v>
      </c>
      <c r="V69" s="5">
        <v>117.3</v>
      </c>
      <c r="W69" s="5">
        <v>118.1</v>
      </c>
      <c r="X69" s="5">
        <v>115.9</v>
      </c>
      <c r="Y69" s="5">
        <v>112</v>
      </c>
      <c r="Z69" s="5">
        <v>113.3</v>
      </c>
      <c r="AA69" s="5">
        <v>117.2</v>
      </c>
      <c r="AB69" s="5">
        <v>108.8</v>
      </c>
      <c r="AC69" s="5">
        <v>114.1</v>
      </c>
      <c r="AD69" s="5">
        <v>121.1</v>
      </c>
    </row>
    <row r="70" spans="1:30" x14ac:dyDescent="0.35">
      <c r="A70" s="5" t="s">
        <v>33</v>
      </c>
      <c r="B70" s="5">
        <v>2014</v>
      </c>
      <c r="C70" s="5" t="s">
        <v>45</v>
      </c>
      <c r="D70" s="11">
        <v>124.5</v>
      </c>
      <c r="E70" s="5">
        <v>125.6</v>
      </c>
      <c r="F70" s="5">
        <v>122.7</v>
      </c>
      <c r="G70" s="5">
        <v>124.6</v>
      </c>
      <c r="H70" s="5">
        <v>103.2</v>
      </c>
      <c r="I70" s="5">
        <v>122.2</v>
      </c>
      <c r="J70" s="5">
        <v>153.19999999999999</v>
      </c>
      <c r="K70" s="5">
        <v>119.3</v>
      </c>
      <c r="L70" s="5">
        <v>99.8</v>
      </c>
      <c r="M70" s="5">
        <v>124.6</v>
      </c>
      <c r="N70" s="5">
        <v>115.8</v>
      </c>
      <c r="O70" s="5">
        <v>126.9</v>
      </c>
      <c r="P70" s="5">
        <v>125.4</v>
      </c>
      <c r="Q70" s="5">
        <v>125.8</v>
      </c>
      <c r="R70" s="5">
        <v>120.3</v>
      </c>
      <c r="S70" s="5">
        <v>115.4</v>
      </c>
      <c r="T70" s="5">
        <v>119.5</v>
      </c>
      <c r="U70" s="5">
        <v>117.1</v>
      </c>
      <c r="V70" s="5">
        <v>112.6</v>
      </c>
      <c r="W70" s="5">
        <v>116.4</v>
      </c>
      <c r="X70" s="5">
        <v>113</v>
      </c>
      <c r="Y70" s="5">
        <v>109.7</v>
      </c>
      <c r="Z70" s="5">
        <v>114</v>
      </c>
      <c r="AA70" s="5">
        <v>120.3</v>
      </c>
      <c r="AB70" s="5">
        <v>109.6</v>
      </c>
      <c r="AC70" s="5">
        <v>113.4</v>
      </c>
      <c r="AD70" s="5">
        <v>119</v>
      </c>
    </row>
    <row r="71" spans="1:30" x14ac:dyDescent="0.35">
      <c r="A71" s="5" t="s">
        <v>34</v>
      </c>
      <c r="B71" s="5">
        <v>2014</v>
      </c>
      <c r="C71" s="5" t="s">
        <v>45</v>
      </c>
      <c r="D71" s="11">
        <v>123.3</v>
      </c>
      <c r="E71" s="5">
        <v>123.7</v>
      </c>
      <c r="F71" s="5">
        <v>121</v>
      </c>
      <c r="G71" s="5">
        <v>124.2</v>
      </c>
      <c r="H71" s="5">
        <v>107.8</v>
      </c>
      <c r="I71" s="5">
        <v>125.7</v>
      </c>
      <c r="J71" s="5">
        <v>152.4</v>
      </c>
      <c r="K71" s="5">
        <v>117.2</v>
      </c>
      <c r="L71" s="5">
        <v>102.1</v>
      </c>
      <c r="M71" s="5">
        <v>118.7</v>
      </c>
      <c r="N71" s="5">
        <v>116.4</v>
      </c>
      <c r="O71" s="5">
        <v>125.6</v>
      </c>
      <c r="P71" s="5">
        <v>125.1</v>
      </c>
      <c r="Q71" s="5">
        <v>122.1</v>
      </c>
      <c r="R71" s="5">
        <v>122.1</v>
      </c>
      <c r="S71" s="5">
        <v>118.4</v>
      </c>
      <c r="T71" s="5">
        <v>121.6</v>
      </c>
      <c r="U71" s="5">
        <v>117.1</v>
      </c>
      <c r="V71" s="5">
        <v>115.5</v>
      </c>
      <c r="W71" s="5">
        <v>117.3</v>
      </c>
      <c r="X71" s="5">
        <v>114.8</v>
      </c>
      <c r="Y71" s="5">
        <v>110.8</v>
      </c>
      <c r="Z71" s="5">
        <v>113.7</v>
      </c>
      <c r="AA71" s="5">
        <v>119</v>
      </c>
      <c r="AB71" s="5">
        <v>109.1</v>
      </c>
      <c r="AC71" s="5">
        <v>113.8</v>
      </c>
      <c r="AD71" s="5">
        <v>120.1</v>
      </c>
    </row>
    <row r="72" spans="1:30" x14ac:dyDescent="0.35">
      <c r="A72" s="5" t="s">
        <v>30</v>
      </c>
      <c r="B72" s="5">
        <v>2014</v>
      </c>
      <c r="C72" s="5" t="s">
        <v>46</v>
      </c>
      <c r="D72" s="11">
        <v>122.4</v>
      </c>
      <c r="E72" s="5">
        <v>122.4</v>
      </c>
      <c r="F72" s="5">
        <v>121.8</v>
      </c>
      <c r="G72" s="5">
        <v>124.2</v>
      </c>
      <c r="H72" s="5">
        <v>110.2</v>
      </c>
      <c r="I72" s="5">
        <v>128.6</v>
      </c>
      <c r="J72" s="5">
        <v>140.30000000000001</v>
      </c>
      <c r="K72" s="5">
        <v>116.3</v>
      </c>
      <c r="L72" s="5">
        <v>102</v>
      </c>
      <c r="M72" s="5">
        <v>116</v>
      </c>
      <c r="N72" s="5">
        <v>117.3</v>
      </c>
      <c r="O72" s="5">
        <v>124.8</v>
      </c>
      <c r="P72" s="5">
        <v>123.3</v>
      </c>
      <c r="Q72" s="5">
        <v>121.7</v>
      </c>
      <c r="R72" s="5">
        <v>123.8</v>
      </c>
      <c r="S72" s="5">
        <v>120.6</v>
      </c>
      <c r="T72" s="5">
        <v>123.3</v>
      </c>
      <c r="U72" s="5" t="s">
        <v>32</v>
      </c>
      <c r="V72" s="5">
        <v>117.4</v>
      </c>
      <c r="W72" s="5">
        <v>118.2</v>
      </c>
      <c r="X72" s="5">
        <v>116.2</v>
      </c>
      <c r="Y72" s="5">
        <v>111.5</v>
      </c>
      <c r="Z72" s="5">
        <v>113.3</v>
      </c>
      <c r="AA72" s="5">
        <v>117.7</v>
      </c>
      <c r="AB72" s="5">
        <v>109.4</v>
      </c>
      <c r="AC72" s="5">
        <v>114.2</v>
      </c>
      <c r="AD72" s="5">
        <v>120.3</v>
      </c>
    </row>
    <row r="73" spans="1:30" x14ac:dyDescent="0.35">
      <c r="A73" s="5" t="s">
        <v>33</v>
      </c>
      <c r="B73" s="5">
        <v>2014</v>
      </c>
      <c r="C73" s="5" t="s">
        <v>46</v>
      </c>
      <c r="D73" s="11">
        <v>124</v>
      </c>
      <c r="E73" s="5">
        <v>124.7</v>
      </c>
      <c r="F73" s="5">
        <v>126.3</v>
      </c>
      <c r="G73" s="5">
        <v>124.9</v>
      </c>
      <c r="H73" s="5">
        <v>103</v>
      </c>
      <c r="I73" s="5">
        <v>122.3</v>
      </c>
      <c r="J73" s="5">
        <v>141</v>
      </c>
      <c r="K73" s="5">
        <v>120.1</v>
      </c>
      <c r="L73" s="5">
        <v>97.8</v>
      </c>
      <c r="M73" s="5">
        <v>125.4</v>
      </c>
      <c r="N73" s="5">
        <v>116.1</v>
      </c>
      <c r="O73" s="5">
        <v>127.6</v>
      </c>
      <c r="P73" s="5">
        <v>124</v>
      </c>
      <c r="Q73" s="5">
        <v>126.4</v>
      </c>
      <c r="R73" s="5">
        <v>120.7</v>
      </c>
      <c r="S73" s="5">
        <v>115.8</v>
      </c>
      <c r="T73" s="5">
        <v>120</v>
      </c>
      <c r="U73" s="5">
        <v>116.5</v>
      </c>
      <c r="V73" s="5">
        <v>113</v>
      </c>
      <c r="W73" s="5">
        <v>116.8</v>
      </c>
      <c r="X73" s="5">
        <v>113.2</v>
      </c>
      <c r="Y73" s="5">
        <v>108.8</v>
      </c>
      <c r="Z73" s="5">
        <v>114.3</v>
      </c>
      <c r="AA73" s="5">
        <v>120.7</v>
      </c>
      <c r="AB73" s="5">
        <v>110.4</v>
      </c>
      <c r="AC73" s="5">
        <v>113.4</v>
      </c>
      <c r="AD73" s="5">
        <v>118.4</v>
      </c>
    </row>
    <row r="74" spans="1:30" x14ac:dyDescent="0.35">
      <c r="A74" s="5" t="s">
        <v>34</v>
      </c>
      <c r="B74" s="5">
        <v>2014</v>
      </c>
      <c r="C74" s="5" t="s">
        <v>46</v>
      </c>
      <c r="D74" s="11">
        <v>122.9</v>
      </c>
      <c r="E74" s="5">
        <v>123.2</v>
      </c>
      <c r="F74" s="5">
        <v>123.5</v>
      </c>
      <c r="G74" s="5">
        <v>124.5</v>
      </c>
      <c r="H74" s="5">
        <v>107.6</v>
      </c>
      <c r="I74" s="5">
        <v>125.7</v>
      </c>
      <c r="J74" s="5">
        <v>140.5</v>
      </c>
      <c r="K74" s="5">
        <v>117.6</v>
      </c>
      <c r="L74" s="5">
        <v>100.6</v>
      </c>
      <c r="M74" s="5">
        <v>119.1</v>
      </c>
      <c r="N74" s="5">
        <v>116.8</v>
      </c>
      <c r="O74" s="5">
        <v>126.1</v>
      </c>
      <c r="P74" s="5">
        <v>123.6</v>
      </c>
      <c r="Q74" s="5">
        <v>123</v>
      </c>
      <c r="R74" s="5">
        <v>122.6</v>
      </c>
      <c r="S74" s="5">
        <v>118.6</v>
      </c>
      <c r="T74" s="5">
        <v>122</v>
      </c>
      <c r="U74" s="5">
        <v>116.5</v>
      </c>
      <c r="V74" s="5">
        <v>115.7</v>
      </c>
      <c r="W74" s="5">
        <v>117.5</v>
      </c>
      <c r="X74" s="5">
        <v>115.1</v>
      </c>
      <c r="Y74" s="5">
        <v>110.1</v>
      </c>
      <c r="Z74" s="5">
        <v>113.9</v>
      </c>
      <c r="AA74" s="5">
        <v>119.5</v>
      </c>
      <c r="AB74" s="5">
        <v>109.8</v>
      </c>
      <c r="AC74" s="5">
        <v>113.8</v>
      </c>
      <c r="AD74" s="5">
        <v>119.4</v>
      </c>
    </row>
    <row r="75" spans="1:30" x14ac:dyDescent="0.35">
      <c r="A75" s="5" t="s">
        <v>30</v>
      </c>
      <c r="B75" s="5">
        <v>2015</v>
      </c>
      <c r="C75" s="5" t="s">
        <v>31</v>
      </c>
      <c r="D75" s="11">
        <v>123.1</v>
      </c>
      <c r="E75" s="5">
        <v>123.1</v>
      </c>
      <c r="F75" s="5">
        <v>122.1</v>
      </c>
      <c r="G75" s="5">
        <v>124.9</v>
      </c>
      <c r="H75" s="5">
        <v>111</v>
      </c>
      <c r="I75" s="5">
        <v>130.4</v>
      </c>
      <c r="J75" s="5">
        <v>132.30000000000001</v>
      </c>
      <c r="K75" s="5">
        <v>117.2</v>
      </c>
      <c r="L75" s="5">
        <v>100.5</v>
      </c>
      <c r="M75" s="5">
        <v>117.2</v>
      </c>
      <c r="N75" s="5">
        <v>117.9</v>
      </c>
      <c r="O75" s="5">
        <v>125.6</v>
      </c>
      <c r="P75" s="5">
        <v>122.8</v>
      </c>
      <c r="Q75" s="5">
        <v>122.7</v>
      </c>
      <c r="R75" s="5">
        <v>124.4</v>
      </c>
      <c r="S75" s="5">
        <v>121.6</v>
      </c>
      <c r="T75" s="5">
        <v>124</v>
      </c>
      <c r="U75" s="5" t="s">
        <v>32</v>
      </c>
      <c r="V75" s="5">
        <v>118.4</v>
      </c>
      <c r="W75" s="5">
        <v>118.9</v>
      </c>
      <c r="X75" s="5">
        <v>116.6</v>
      </c>
      <c r="Y75" s="5">
        <v>111</v>
      </c>
      <c r="Z75" s="5">
        <v>114</v>
      </c>
      <c r="AA75" s="5">
        <v>118.2</v>
      </c>
      <c r="AB75" s="5">
        <v>110.2</v>
      </c>
      <c r="AC75" s="5">
        <v>114.5</v>
      </c>
      <c r="AD75" s="5">
        <v>120.3</v>
      </c>
    </row>
    <row r="76" spans="1:30" x14ac:dyDescent="0.35">
      <c r="A76" s="5" t="s">
        <v>33</v>
      </c>
      <c r="B76" s="5">
        <v>2015</v>
      </c>
      <c r="C76" s="5" t="s">
        <v>31</v>
      </c>
      <c r="D76" s="11">
        <v>124</v>
      </c>
      <c r="E76" s="5">
        <v>125.5</v>
      </c>
      <c r="F76" s="5">
        <v>126.6</v>
      </c>
      <c r="G76" s="5">
        <v>125.2</v>
      </c>
      <c r="H76" s="5">
        <v>104.3</v>
      </c>
      <c r="I76" s="5">
        <v>121.3</v>
      </c>
      <c r="J76" s="5">
        <v>134.4</v>
      </c>
      <c r="K76" s="5">
        <v>122.9</v>
      </c>
      <c r="L76" s="5">
        <v>96.1</v>
      </c>
      <c r="M76" s="5">
        <v>126.6</v>
      </c>
      <c r="N76" s="5">
        <v>116.5</v>
      </c>
      <c r="O76" s="5">
        <v>128</v>
      </c>
      <c r="P76" s="5">
        <v>123.5</v>
      </c>
      <c r="Q76" s="5">
        <v>127.4</v>
      </c>
      <c r="R76" s="5">
        <v>121</v>
      </c>
      <c r="S76" s="5">
        <v>116.1</v>
      </c>
      <c r="T76" s="5">
        <v>120.2</v>
      </c>
      <c r="U76" s="5">
        <v>117.3</v>
      </c>
      <c r="V76" s="5">
        <v>113.4</v>
      </c>
      <c r="W76" s="5">
        <v>117.2</v>
      </c>
      <c r="X76" s="5">
        <v>113.7</v>
      </c>
      <c r="Y76" s="5">
        <v>107.9</v>
      </c>
      <c r="Z76" s="5">
        <v>114.6</v>
      </c>
      <c r="AA76" s="5">
        <v>120.8</v>
      </c>
      <c r="AB76" s="5">
        <v>111.4</v>
      </c>
      <c r="AC76" s="5">
        <v>113.4</v>
      </c>
      <c r="AD76" s="5">
        <v>118.5</v>
      </c>
    </row>
    <row r="77" spans="1:30" x14ac:dyDescent="0.35">
      <c r="A77" s="5" t="s">
        <v>34</v>
      </c>
      <c r="B77" s="5">
        <v>2015</v>
      </c>
      <c r="C77" s="5" t="s">
        <v>31</v>
      </c>
      <c r="D77" s="11">
        <v>123.4</v>
      </c>
      <c r="E77" s="5">
        <v>123.9</v>
      </c>
      <c r="F77" s="5">
        <v>123.8</v>
      </c>
      <c r="G77" s="5">
        <v>125</v>
      </c>
      <c r="H77" s="5">
        <v>108.5</v>
      </c>
      <c r="I77" s="5">
        <v>126.2</v>
      </c>
      <c r="J77" s="5">
        <v>133</v>
      </c>
      <c r="K77" s="5">
        <v>119.1</v>
      </c>
      <c r="L77" s="5">
        <v>99</v>
      </c>
      <c r="M77" s="5">
        <v>120.3</v>
      </c>
      <c r="N77" s="5">
        <v>117.3</v>
      </c>
      <c r="O77" s="5">
        <v>126.7</v>
      </c>
      <c r="P77" s="5">
        <v>123.1</v>
      </c>
      <c r="Q77" s="5">
        <v>124</v>
      </c>
      <c r="R77" s="5">
        <v>123.1</v>
      </c>
      <c r="S77" s="5">
        <v>119.3</v>
      </c>
      <c r="T77" s="5">
        <v>122.5</v>
      </c>
      <c r="U77" s="5">
        <v>117.3</v>
      </c>
      <c r="V77" s="5">
        <v>116.5</v>
      </c>
      <c r="W77" s="5">
        <v>118.1</v>
      </c>
      <c r="X77" s="5">
        <v>115.5</v>
      </c>
      <c r="Y77" s="5">
        <v>109.4</v>
      </c>
      <c r="Z77" s="5">
        <v>114.3</v>
      </c>
      <c r="AA77" s="5">
        <v>119.7</v>
      </c>
      <c r="AB77" s="5">
        <v>110.7</v>
      </c>
      <c r="AC77" s="5">
        <v>114</v>
      </c>
      <c r="AD77" s="5">
        <v>119.5</v>
      </c>
    </row>
    <row r="78" spans="1:30" x14ac:dyDescent="0.35">
      <c r="A78" s="5" t="s">
        <v>30</v>
      </c>
      <c r="B78" s="5">
        <v>2015</v>
      </c>
      <c r="C78" s="5" t="s">
        <v>35</v>
      </c>
      <c r="D78" s="11">
        <v>123.4</v>
      </c>
      <c r="E78" s="5">
        <v>124.4</v>
      </c>
      <c r="F78" s="5">
        <v>122.1</v>
      </c>
      <c r="G78" s="5">
        <v>125.8</v>
      </c>
      <c r="H78" s="5">
        <v>111.5</v>
      </c>
      <c r="I78" s="5">
        <v>129.4</v>
      </c>
      <c r="J78" s="5">
        <v>128.19999999999999</v>
      </c>
      <c r="K78" s="5">
        <v>118.8</v>
      </c>
      <c r="L78" s="5">
        <v>100</v>
      </c>
      <c r="M78" s="5">
        <v>118.6</v>
      </c>
      <c r="N78" s="5">
        <v>118.8</v>
      </c>
      <c r="O78" s="5">
        <v>126.8</v>
      </c>
      <c r="P78" s="5">
        <v>122.8</v>
      </c>
      <c r="Q78" s="5">
        <v>124.2</v>
      </c>
      <c r="R78" s="5">
        <v>125.4</v>
      </c>
      <c r="S78" s="5">
        <v>122.7</v>
      </c>
      <c r="T78" s="5">
        <v>125</v>
      </c>
      <c r="U78" s="5" t="s">
        <v>32</v>
      </c>
      <c r="V78" s="5">
        <v>120</v>
      </c>
      <c r="W78" s="5">
        <v>119.6</v>
      </c>
      <c r="X78" s="5">
        <v>117.7</v>
      </c>
      <c r="Y78" s="5">
        <v>110.9</v>
      </c>
      <c r="Z78" s="5">
        <v>114.8</v>
      </c>
      <c r="AA78" s="5">
        <v>118.7</v>
      </c>
      <c r="AB78" s="5">
        <v>110.8</v>
      </c>
      <c r="AC78" s="5">
        <v>115</v>
      </c>
      <c r="AD78" s="5">
        <v>120.6</v>
      </c>
    </row>
    <row r="79" spans="1:30" x14ac:dyDescent="0.35">
      <c r="A79" s="5" t="s">
        <v>33</v>
      </c>
      <c r="B79" s="5">
        <v>2015</v>
      </c>
      <c r="C79" s="5" t="s">
        <v>35</v>
      </c>
      <c r="D79" s="11">
        <v>124.3</v>
      </c>
      <c r="E79" s="5">
        <v>126.5</v>
      </c>
      <c r="F79" s="5">
        <v>119.5</v>
      </c>
      <c r="G79" s="5">
        <v>125.6</v>
      </c>
      <c r="H79" s="5">
        <v>104.9</v>
      </c>
      <c r="I79" s="5">
        <v>121.6</v>
      </c>
      <c r="J79" s="5">
        <v>131.80000000000001</v>
      </c>
      <c r="K79" s="5">
        <v>125.1</v>
      </c>
      <c r="L79" s="5">
        <v>95</v>
      </c>
      <c r="M79" s="5">
        <v>127.7</v>
      </c>
      <c r="N79" s="5">
        <v>116.8</v>
      </c>
      <c r="O79" s="5">
        <v>128.6</v>
      </c>
      <c r="P79" s="5">
        <v>123.7</v>
      </c>
      <c r="Q79" s="5">
        <v>128.1</v>
      </c>
      <c r="R79" s="5">
        <v>121.3</v>
      </c>
      <c r="S79" s="5">
        <v>116.5</v>
      </c>
      <c r="T79" s="5">
        <v>120.6</v>
      </c>
      <c r="U79" s="5">
        <v>118.1</v>
      </c>
      <c r="V79" s="5">
        <v>114</v>
      </c>
      <c r="W79" s="5">
        <v>117.7</v>
      </c>
      <c r="X79" s="5">
        <v>114.1</v>
      </c>
      <c r="Y79" s="5">
        <v>106.8</v>
      </c>
      <c r="Z79" s="5">
        <v>114.9</v>
      </c>
      <c r="AA79" s="5">
        <v>120.4</v>
      </c>
      <c r="AB79" s="5">
        <v>111.7</v>
      </c>
      <c r="AC79" s="5">
        <v>113.2</v>
      </c>
      <c r="AD79" s="5">
        <v>118.7</v>
      </c>
    </row>
    <row r="80" spans="1:30" x14ac:dyDescent="0.35">
      <c r="A80" s="5" t="s">
        <v>34</v>
      </c>
      <c r="B80" s="5">
        <v>2015</v>
      </c>
      <c r="C80" s="5" t="s">
        <v>35</v>
      </c>
      <c r="D80" s="11">
        <v>123.7</v>
      </c>
      <c r="E80" s="5">
        <v>125.1</v>
      </c>
      <c r="F80" s="5">
        <v>121.1</v>
      </c>
      <c r="G80" s="5">
        <v>125.7</v>
      </c>
      <c r="H80" s="5">
        <v>109.1</v>
      </c>
      <c r="I80" s="5">
        <v>125.8</v>
      </c>
      <c r="J80" s="5">
        <v>129.4</v>
      </c>
      <c r="K80" s="5">
        <v>120.9</v>
      </c>
      <c r="L80" s="5">
        <v>98.3</v>
      </c>
      <c r="M80" s="5">
        <v>121.6</v>
      </c>
      <c r="N80" s="5">
        <v>118</v>
      </c>
      <c r="O80" s="5">
        <v>127.6</v>
      </c>
      <c r="P80" s="5">
        <v>123.1</v>
      </c>
      <c r="Q80" s="5">
        <v>125.2</v>
      </c>
      <c r="R80" s="5">
        <v>123.8</v>
      </c>
      <c r="S80" s="5">
        <v>120.1</v>
      </c>
      <c r="T80" s="5">
        <v>123.3</v>
      </c>
      <c r="U80" s="5">
        <v>118.1</v>
      </c>
      <c r="V80" s="5">
        <v>117.7</v>
      </c>
      <c r="W80" s="5">
        <v>118.7</v>
      </c>
      <c r="X80" s="5">
        <v>116.3</v>
      </c>
      <c r="Y80" s="5">
        <v>108.7</v>
      </c>
      <c r="Z80" s="5">
        <v>114.9</v>
      </c>
      <c r="AA80" s="5">
        <v>119.7</v>
      </c>
      <c r="AB80" s="5">
        <v>111.2</v>
      </c>
      <c r="AC80" s="5">
        <v>114.1</v>
      </c>
      <c r="AD80" s="5">
        <v>119.7</v>
      </c>
    </row>
    <row r="81" spans="1:30" x14ac:dyDescent="0.35">
      <c r="A81" s="5" t="s">
        <v>30</v>
      </c>
      <c r="B81" s="5">
        <v>2015</v>
      </c>
      <c r="C81" s="5" t="s">
        <v>36</v>
      </c>
      <c r="D81" s="11">
        <v>123.3</v>
      </c>
      <c r="E81" s="5">
        <v>124.7</v>
      </c>
      <c r="F81" s="5">
        <v>118.9</v>
      </c>
      <c r="G81" s="5">
        <v>126</v>
      </c>
      <c r="H81" s="5">
        <v>111.8</v>
      </c>
      <c r="I81" s="5">
        <v>130.9</v>
      </c>
      <c r="J81" s="5">
        <v>128</v>
      </c>
      <c r="K81" s="5">
        <v>119.9</v>
      </c>
      <c r="L81" s="5">
        <v>98.9</v>
      </c>
      <c r="M81" s="5">
        <v>119.4</v>
      </c>
      <c r="N81" s="5">
        <v>118.9</v>
      </c>
      <c r="O81" s="5">
        <v>127.7</v>
      </c>
      <c r="P81" s="5">
        <v>123.1</v>
      </c>
      <c r="Q81" s="5">
        <v>124.7</v>
      </c>
      <c r="R81" s="5">
        <v>126</v>
      </c>
      <c r="S81" s="5">
        <v>122.9</v>
      </c>
      <c r="T81" s="5">
        <v>125.5</v>
      </c>
      <c r="U81" s="5" t="s">
        <v>32</v>
      </c>
      <c r="V81" s="5">
        <v>120.6</v>
      </c>
      <c r="W81" s="5">
        <v>120.2</v>
      </c>
      <c r="X81" s="5">
        <v>118.2</v>
      </c>
      <c r="Y81" s="5">
        <v>111.6</v>
      </c>
      <c r="Z81" s="5">
        <v>115.5</v>
      </c>
      <c r="AA81" s="5">
        <v>119.4</v>
      </c>
      <c r="AB81" s="5">
        <v>110.8</v>
      </c>
      <c r="AC81" s="5">
        <v>115.5</v>
      </c>
      <c r="AD81" s="5">
        <v>121.1</v>
      </c>
    </row>
    <row r="82" spans="1:30" x14ac:dyDescent="0.35">
      <c r="A82" s="5" t="s">
        <v>33</v>
      </c>
      <c r="B82" s="5">
        <v>2015</v>
      </c>
      <c r="C82" s="5" t="s">
        <v>36</v>
      </c>
      <c r="D82" s="11">
        <v>124</v>
      </c>
      <c r="E82" s="5">
        <v>126.7</v>
      </c>
      <c r="F82" s="5">
        <v>113.5</v>
      </c>
      <c r="G82" s="5">
        <v>125.9</v>
      </c>
      <c r="H82" s="5">
        <v>104.8</v>
      </c>
      <c r="I82" s="5">
        <v>123.8</v>
      </c>
      <c r="J82" s="5">
        <v>131.4</v>
      </c>
      <c r="K82" s="5">
        <v>127.2</v>
      </c>
      <c r="L82" s="5">
        <v>93.2</v>
      </c>
      <c r="M82" s="5">
        <v>127.4</v>
      </c>
      <c r="N82" s="5">
        <v>117</v>
      </c>
      <c r="O82" s="5">
        <v>129.19999999999999</v>
      </c>
      <c r="P82" s="5">
        <v>123.9</v>
      </c>
      <c r="Q82" s="5">
        <v>128.80000000000001</v>
      </c>
      <c r="R82" s="5">
        <v>121.7</v>
      </c>
      <c r="S82" s="5">
        <v>116.9</v>
      </c>
      <c r="T82" s="5">
        <v>120.9</v>
      </c>
      <c r="U82" s="5">
        <v>118.6</v>
      </c>
      <c r="V82" s="5">
        <v>114.4</v>
      </c>
      <c r="W82" s="5">
        <v>118</v>
      </c>
      <c r="X82" s="5">
        <v>114.3</v>
      </c>
      <c r="Y82" s="5">
        <v>108.4</v>
      </c>
      <c r="Z82" s="5">
        <v>115.4</v>
      </c>
      <c r="AA82" s="5">
        <v>120.6</v>
      </c>
      <c r="AB82" s="5">
        <v>111.3</v>
      </c>
      <c r="AC82" s="5">
        <v>113.8</v>
      </c>
      <c r="AD82" s="5">
        <v>119.1</v>
      </c>
    </row>
    <row r="83" spans="1:30" x14ac:dyDescent="0.35">
      <c r="A83" s="5" t="s">
        <v>34</v>
      </c>
      <c r="B83" s="5">
        <v>2015</v>
      </c>
      <c r="C83" s="5" t="s">
        <v>36</v>
      </c>
      <c r="D83" s="11">
        <v>123.5</v>
      </c>
      <c r="E83" s="5">
        <v>125.4</v>
      </c>
      <c r="F83" s="5">
        <v>116.8</v>
      </c>
      <c r="G83" s="5">
        <v>126</v>
      </c>
      <c r="H83" s="5">
        <v>109.2</v>
      </c>
      <c r="I83" s="5">
        <v>127.6</v>
      </c>
      <c r="J83" s="5">
        <v>129.19999999999999</v>
      </c>
      <c r="K83" s="5">
        <v>122.4</v>
      </c>
      <c r="L83" s="5">
        <v>97</v>
      </c>
      <c r="M83" s="5">
        <v>122.1</v>
      </c>
      <c r="N83" s="5">
        <v>118.1</v>
      </c>
      <c r="O83" s="5">
        <v>128.4</v>
      </c>
      <c r="P83" s="5">
        <v>123.4</v>
      </c>
      <c r="Q83" s="5">
        <v>125.8</v>
      </c>
      <c r="R83" s="5">
        <v>124.3</v>
      </c>
      <c r="S83" s="5">
        <v>120.4</v>
      </c>
      <c r="T83" s="5">
        <v>123.7</v>
      </c>
      <c r="U83" s="5">
        <v>118.6</v>
      </c>
      <c r="V83" s="5">
        <v>118.3</v>
      </c>
      <c r="W83" s="5">
        <v>119.2</v>
      </c>
      <c r="X83" s="5">
        <v>116.7</v>
      </c>
      <c r="Y83" s="5">
        <v>109.9</v>
      </c>
      <c r="Z83" s="5">
        <v>115.4</v>
      </c>
      <c r="AA83" s="5">
        <v>120.1</v>
      </c>
      <c r="AB83" s="5">
        <v>111</v>
      </c>
      <c r="AC83" s="5">
        <v>114.7</v>
      </c>
      <c r="AD83" s="5">
        <v>120.2</v>
      </c>
    </row>
    <row r="84" spans="1:30" x14ac:dyDescent="0.35">
      <c r="A84" s="5" t="s">
        <v>30</v>
      </c>
      <c r="B84" s="5">
        <v>2015</v>
      </c>
      <c r="C84" s="5" t="s">
        <v>37</v>
      </c>
      <c r="D84" s="11">
        <v>123.3</v>
      </c>
      <c r="E84" s="5">
        <v>125.5</v>
      </c>
      <c r="F84" s="5">
        <v>117.2</v>
      </c>
      <c r="G84" s="5">
        <v>126.8</v>
      </c>
      <c r="H84" s="5">
        <v>111.9</v>
      </c>
      <c r="I84" s="5">
        <v>134.19999999999999</v>
      </c>
      <c r="J84" s="5">
        <v>127.5</v>
      </c>
      <c r="K84" s="5">
        <v>121.5</v>
      </c>
      <c r="L84" s="5">
        <v>97.8</v>
      </c>
      <c r="M84" s="5">
        <v>119.8</v>
      </c>
      <c r="N84" s="5">
        <v>119.4</v>
      </c>
      <c r="O84" s="5">
        <v>128.69999999999999</v>
      </c>
      <c r="P84" s="5">
        <v>123.6</v>
      </c>
      <c r="Q84" s="5">
        <v>125.7</v>
      </c>
      <c r="R84" s="5">
        <v>126.4</v>
      </c>
      <c r="S84" s="5">
        <v>123.3</v>
      </c>
      <c r="T84" s="5">
        <v>126</v>
      </c>
      <c r="U84" s="5" t="s">
        <v>32</v>
      </c>
      <c r="V84" s="5">
        <v>121.2</v>
      </c>
      <c r="W84" s="5">
        <v>120.9</v>
      </c>
      <c r="X84" s="5">
        <v>118.6</v>
      </c>
      <c r="Y84" s="5">
        <v>111.9</v>
      </c>
      <c r="Z84" s="5">
        <v>116.2</v>
      </c>
      <c r="AA84" s="5">
        <v>119.9</v>
      </c>
      <c r="AB84" s="5">
        <v>111.6</v>
      </c>
      <c r="AC84" s="5">
        <v>116</v>
      </c>
      <c r="AD84" s="5">
        <v>121.5</v>
      </c>
    </row>
    <row r="85" spans="1:30" x14ac:dyDescent="0.35">
      <c r="A85" s="5" t="s">
        <v>33</v>
      </c>
      <c r="B85" s="5">
        <v>2015</v>
      </c>
      <c r="C85" s="5" t="s">
        <v>37</v>
      </c>
      <c r="D85" s="11">
        <v>123.8</v>
      </c>
      <c r="E85" s="5">
        <v>128.19999999999999</v>
      </c>
      <c r="F85" s="5">
        <v>110</v>
      </c>
      <c r="G85" s="5">
        <v>126.3</v>
      </c>
      <c r="H85" s="5">
        <v>104.5</v>
      </c>
      <c r="I85" s="5">
        <v>130.6</v>
      </c>
      <c r="J85" s="5">
        <v>130.80000000000001</v>
      </c>
      <c r="K85" s="5">
        <v>131.30000000000001</v>
      </c>
      <c r="L85" s="5">
        <v>91.6</v>
      </c>
      <c r="M85" s="5">
        <v>127.7</v>
      </c>
      <c r="N85" s="5">
        <v>117.2</v>
      </c>
      <c r="O85" s="5">
        <v>129.5</v>
      </c>
      <c r="P85" s="5">
        <v>124.6</v>
      </c>
      <c r="Q85" s="5">
        <v>130.1</v>
      </c>
      <c r="R85" s="5">
        <v>122.1</v>
      </c>
      <c r="S85" s="5">
        <v>117.2</v>
      </c>
      <c r="T85" s="5">
        <v>121.3</v>
      </c>
      <c r="U85" s="5">
        <v>119.2</v>
      </c>
      <c r="V85" s="5">
        <v>114.7</v>
      </c>
      <c r="W85" s="5">
        <v>118.4</v>
      </c>
      <c r="X85" s="5">
        <v>114.6</v>
      </c>
      <c r="Y85" s="5">
        <v>108.4</v>
      </c>
      <c r="Z85" s="5">
        <v>115.6</v>
      </c>
      <c r="AA85" s="5">
        <v>121.7</v>
      </c>
      <c r="AB85" s="5">
        <v>111.8</v>
      </c>
      <c r="AC85" s="5">
        <v>114.2</v>
      </c>
      <c r="AD85" s="5">
        <v>119.7</v>
      </c>
    </row>
    <row r="86" spans="1:30" x14ac:dyDescent="0.35">
      <c r="A86" s="5" t="s">
        <v>34</v>
      </c>
      <c r="B86" s="5">
        <v>2015</v>
      </c>
      <c r="C86" s="5" t="s">
        <v>37</v>
      </c>
      <c r="D86" s="11">
        <v>123.5</v>
      </c>
      <c r="E86" s="5">
        <v>126.4</v>
      </c>
      <c r="F86" s="5">
        <v>114.4</v>
      </c>
      <c r="G86" s="5">
        <v>126.6</v>
      </c>
      <c r="H86" s="5">
        <v>109.2</v>
      </c>
      <c r="I86" s="5">
        <v>132.5</v>
      </c>
      <c r="J86" s="5">
        <v>128.6</v>
      </c>
      <c r="K86" s="5">
        <v>124.8</v>
      </c>
      <c r="L86" s="5">
        <v>95.7</v>
      </c>
      <c r="M86" s="5">
        <v>122.4</v>
      </c>
      <c r="N86" s="5">
        <v>118.5</v>
      </c>
      <c r="O86" s="5">
        <v>129.1</v>
      </c>
      <c r="P86" s="5">
        <v>124</v>
      </c>
      <c r="Q86" s="5">
        <v>126.9</v>
      </c>
      <c r="R86" s="5">
        <v>124.7</v>
      </c>
      <c r="S86" s="5">
        <v>120.8</v>
      </c>
      <c r="T86" s="5">
        <v>124.1</v>
      </c>
      <c r="U86" s="5">
        <v>119.2</v>
      </c>
      <c r="V86" s="5">
        <v>118.7</v>
      </c>
      <c r="W86" s="5">
        <v>119.7</v>
      </c>
      <c r="X86" s="5">
        <v>117.1</v>
      </c>
      <c r="Y86" s="5">
        <v>110.1</v>
      </c>
      <c r="Z86" s="5">
        <v>115.9</v>
      </c>
      <c r="AA86" s="5">
        <v>121</v>
      </c>
      <c r="AB86" s="5">
        <v>111.7</v>
      </c>
      <c r="AC86" s="5">
        <v>115.1</v>
      </c>
      <c r="AD86" s="5">
        <v>120.7</v>
      </c>
    </row>
    <row r="87" spans="1:30" x14ac:dyDescent="0.35">
      <c r="A87" s="5" t="s">
        <v>30</v>
      </c>
      <c r="B87" s="5">
        <v>2015</v>
      </c>
      <c r="C87" s="5" t="s">
        <v>38</v>
      </c>
      <c r="D87" s="11">
        <v>123.5</v>
      </c>
      <c r="E87" s="5">
        <v>127.1</v>
      </c>
      <c r="F87" s="5">
        <v>117.3</v>
      </c>
      <c r="G87" s="5">
        <v>127.7</v>
      </c>
      <c r="H87" s="5">
        <v>112.5</v>
      </c>
      <c r="I87" s="5">
        <v>134.1</v>
      </c>
      <c r="J87" s="5">
        <v>128.5</v>
      </c>
      <c r="K87" s="5">
        <v>124.3</v>
      </c>
      <c r="L87" s="5">
        <v>97.6</v>
      </c>
      <c r="M87" s="5">
        <v>120.7</v>
      </c>
      <c r="N87" s="5">
        <v>120.2</v>
      </c>
      <c r="O87" s="5">
        <v>129.80000000000001</v>
      </c>
      <c r="P87" s="5">
        <v>124.4</v>
      </c>
      <c r="Q87" s="5">
        <v>126.7</v>
      </c>
      <c r="R87" s="5">
        <v>127.3</v>
      </c>
      <c r="S87" s="5">
        <v>124.1</v>
      </c>
      <c r="T87" s="5">
        <v>126.8</v>
      </c>
      <c r="U87" s="5" t="s">
        <v>32</v>
      </c>
      <c r="V87" s="5">
        <v>121.9</v>
      </c>
      <c r="W87" s="5">
        <v>121.5</v>
      </c>
      <c r="X87" s="5">
        <v>119.4</v>
      </c>
      <c r="Y87" s="5">
        <v>113.3</v>
      </c>
      <c r="Z87" s="5">
        <v>116.7</v>
      </c>
      <c r="AA87" s="5">
        <v>120.5</v>
      </c>
      <c r="AB87" s="5">
        <v>112.3</v>
      </c>
      <c r="AC87" s="5">
        <v>116.9</v>
      </c>
      <c r="AD87" s="5">
        <v>122.4</v>
      </c>
    </row>
    <row r="88" spans="1:30" x14ac:dyDescent="0.35">
      <c r="A88" s="5" t="s">
        <v>33</v>
      </c>
      <c r="B88" s="5">
        <v>2015</v>
      </c>
      <c r="C88" s="5" t="s">
        <v>38</v>
      </c>
      <c r="D88" s="11">
        <v>123.8</v>
      </c>
      <c r="E88" s="5">
        <v>129.69999999999999</v>
      </c>
      <c r="F88" s="5">
        <v>111.3</v>
      </c>
      <c r="G88" s="5">
        <v>126.6</v>
      </c>
      <c r="H88" s="5">
        <v>105.2</v>
      </c>
      <c r="I88" s="5">
        <v>130.80000000000001</v>
      </c>
      <c r="J88" s="5">
        <v>135.6</v>
      </c>
      <c r="K88" s="5">
        <v>142.6</v>
      </c>
      <c r="L88" s="5">
        <v>90.8</v>
      </c>
      <c r="M88" s="5">
        <v>128.80000000000001</v>
      </c>
      <c r="N88" s="5">
        <v>117.7</v>
      </c>
      <c r="O88" s="5">
        <v>129.9</v>
      </c>
      <c r="P88" s="5">
        <v>126.1</v>
      </c>
      <c r="Q88" s="5">
        <v>131.30000000000001</v>
      </c>
      <c r="R88" s="5">
        <v>122.4</v>
      </c>
      <c r="S88" s="5">
        <v>117.4</v>
      </c>
      <c r="T88" s="5">
        <v>121.6</v>
      </c>
      <c r="U88" s="5">
        <v>119.6</v>
      </c>
      <c r="V88" s="5">
        <v>114.9</v>
      </c>
      <c r="W88" s="5">
        <v>118.7</v>
      </c>
      <c r="X88" s="5">
        <v>114.9</v>
      </c>
      <c r="Y88" s="5">
        <v>110.8</v>
      </c>
      <c r="Z88" s="5">
        <v>116</v>
      </c>
      <c r="AA88" s="5">
        <v>122</v>
      </c>
      <c r="AB88" s="5">
        <v>112.4</v>
      </c>
      <c r="AC88" s="5">
        <v>115.2</v>
      </c>
      <c r="AD88" s="5">
        <v>120.7</v>
      </c>
    </row>
    <row r="89" spans="1:30" x14ac:dyDescent="0.35">
      <c r="A89" s="5" t="s">
        <v>34</v>
      </c>
      <c r="B89" s="5">
        <v>2015</v>
      </c>
      <c r="C89" s="5" t="s">
        <v>38</v>
      </c>
      <c r="D89" s="11">
        <v>123.6</v>
      </c>
      <c r="E89" s="5">
        <v>128</v>
      </c>
      <c r="F89" s="5">
        <v>115</v>
      </c>
      <c r="G89" s="5">
        <v>127.3</v>
      </c>
      <c r="H89" s="5">
        <v>109.8</v>
      </c>
      <c r="I89" s="5">
        <v>132.6</v>
      </c>
      <c r="J89" s="5">
        <v>130.9</v>
      </c>
      <c r="K89" s="5">
        <v>130.5</v>
      </c>
      <c r="L89" s="5">
        <v>95.3</v>
      </c>
      <c r="M89" s="5">
        <v>123.4</v>
      </c>
      <c r="N89" s="5">
        <v>119.2</v>
      </c>
      <c r="O89" s="5">
        <v>129.80000000000001</v>
      </c>
      <c r="P89" s="5">
        <v>125</v>
      </c>
      <c r="Q89" s="5">
        <v>127.9</v>
      </c>
      <c r="R89" s="5">
        <v>125.4</v>
      </c>
      <c r="S89" s="5">
        <v>121.3</v>
      </c>
      <c r="T89" s="5">
        <v>124.7</v>
      </c>
      <c r="U89" s="5">
        <v>119.6</v>
      </c>
      <c r="V89" s="5">
        <v>119.2</v>
      </c>
      <c r="W89" s="5">
        <v>120.2</v>
      </c>
      <c r="X89" s="5">
        <v>117.7</v>
      </c>
      <c r="Y89" s="5">
        <v>112</v>
      </c>
      <c r="Z89" s="5">
        <v>116.3</v>
      </c>
      <c r="AA89" s="5">
        <v>121.4</v>
      </c>
      <c r="AB89" s="5">
        <v>112.3</v>
      </c>
      <c r="AC89" s="5">
        <v>116.1</v>
      </c>
      <c r="AD89" s="5">
        <v>121.6</v>
      </c>
    </row>
    <row r="90" spans="1:30" x14ac:dyDescent="0.35">
      <c r="A90" s="5" t="s">
        <v>30</v>
      </c>
      <c r="B90" s="5">
        <v>2015</v>
      </c>
      <c r="C90" s="5" t="s">
        <v>39</v>
      </c>
      <c r="D90" s="11">
        <v>124.1</v>
      </c>
      <c r="E90" s="5">
        <v>130.4</v>
      </c>
      <c r="F90" s="5">
        <v>122.1</v>
      </c>
      <c r="G90" s="5">
        <v>128.69999999999999</v>
      </c>
      <c r="H90" s="5">
        <v>114.1</v>
      </c>
      <c r="I90" s="5">
        <v>133.19999999999999</v>
      </c>
      <c r="J90" s="5">
        <v>135.19999999999999</v>
      </c>
      <c r="K90" s="5">
        <v>131.9</v>
      </c>
      <c r="L90" s="5">
        <v>96.3</v>
      </c>
      <c r="M90" s="5">
        <v>123</v>
      </c>
      <c r="N90" s="5">
        <v>121.1</v>
      </c>
      <c r="O90" s="5">
        <v>131.19999999999999</v>
      </c>
      <c r="P90" s="5">
        <v>126.6</v>
      </c>
      <c r="Q90" s="5">
        <v>128.19999999999999</v>
      </c>
      <c r="R90" s="5">
        <v>128.4</v>
      </c>
      <c r="S90" s="5">
        <v>125.1</v>
      </c>
      <c r="T90" s="5">
        <v>128</v>
      </c>
      <c r="U90" s="5" t="s">
        <v>32</v>
      </c>
      <c r="V90" s="5">
        <v>122.6</v>
      </c>
      <c r="W90" s="5">
        <v>122.8</v>
      </c>
      <c r="X90" s="5">
        <v>120.4</v>
      </c>
      <c r="Y90" s="5">
        <v>114.2</v>
      </c>
      <c r="Z90" s="5">
        <v>117.9</v>
      </c>
      <c r="AA90" s="5">
        <v>122</v>
      </c>
      <c r="AB90" s="5">
        <v>113</v>
      </c>
      <c r="AC90" s="5">
        <v>117.9</v>
      </c>
      <c r="AD90" s="5">
        <v>124.1</v>
      </c>
    </row>
    <row r="91" spans="1:30" x14ac:dyDescent="0.35">
      <c r="A91" s="5" t="s">
        <v>33</v>
      </c>
      <c r="B91" s="5">
        <v>2015</v>
      </c>
      <c r="C91" s="5" t="s">
        <v>39</v>
      </c>
      <c r="D91" s="11">
        <v>123.6</v>
      </c>
      <c r="E91" s="5">
        <v>134.4</v>
      </c>
      <c r="F91" s="5">
        <v>120.9</v>
      </c>
      <c r="G91" s="5">
        <v>127.3</v>
      </c>
      <c r="H91" s="5">
        <v>106</v>
      </c>
      <c r="I91" s="5">
        <v>132.30000000000001</v>
      </c>
      <c r="J91" s="5">
        <v>146.69999999999999</v>
      </c>
      <c r="K91" s="5">
        <v>148.1</v>
      </c>
      <c r="L91" s="5">
        <v>89.8</v>
      </c>
      <c r="M91" s="5">
        <v>130.5</v>
      </c>
      <c r="N91" s="5">
        <v>118</v>
      </c>
      <c r="O91" s="5">
        <v>130.5</v>
      </c>
      <c r="P91" s="5">
        <v>128.5</v>
      </c>
      <c r="Q91" s="5">
        <v>132.1</v>
      </c>
      <c r="R91" s="5">
        <v>123.2</v>
      </c>
      <c r="S91" s="5">
        <v>117.6</v>
      </c>
      <c r="T91" s="5">
        <v>122.3</v>
      </c>
      <c r="U91" s="5">
        <v>119</v>
      </c>
      <c r="V91" s="5">
        <v>115.1</v>
      </c>
      <c r="W91" s="5">
        <v>119.2</v>
      </c>
      <c r="X91" s="5">
        <v>115.4</v>
      </c>
      <c r="Y91" s="5">
        <v>111.7</v>
      </c>
      <c r="Z91" s="5">
        <v>116.2</v>
      </c>
      <c r="AA91" s="5">
        <v>123.8</v>
      </c>
      <c r="AB91" s="5">
        <v>112.5</v>
      </c>
      <c r="AC91" s="5">
        <v>116</v>
      </c>
      <c r="AD91" s="5">
        <v>121.7</v>
      </c>
    </row>
    <row r="92" spans="1:30" x14ac:dyDescent="0.35">
      <c r="A92" s="5" t="s">
        <v>34</v>
      </c>
      <c r="B92" s="5">
        <v>2015</v>
      </c>
      <c r="C92" s="5" t="s">
        <v>39</v>
      </c>
      <c r="D92" s="11">
        <v>123.9</v>
      </c>
      <c r="E92" s="5">
        <v>131.80000000000001</v>
      </c>
      <c r="F92" s="5">
        <v>121.6</v>
      </c>
      <c r="G92" s="5">
        <v>128.19999999999999</v>
      </c>
      <c r="H92" s="5">
        <v>111.1</v>
      </c>
      <c r="I92" s="5">
        <v>132.80000000000001</v>
      </c>
      <c r="J92" s="5">
        <v>139.1</v>
      </c>
      <c r="K92" s="5">
        <v>137.4</v>
      </c>
      <c r="L92" s="5">
        <v>94.1</v>
      </c>
      <c r="M92" s="5">
        <v>125.5</v>
      </c>
      <c r="N92" s="5">
        <v>119.8</v>
      </c>
      <c r="O92" s="5">
        <v>130.9</v>
      </c>
      <c r="P92" s="5">
        <v>127.3</v>
      </c>
      <c r="Q92" s="5">
        <v>129.19999999999999</v>
      </c>
      <c r="R92" s="5">
        <v>126.4</v>
      </c>
      <c r="S92" s="5">
        <v>122</v>
      </c>
      <c r="T92" s="5">
        <v>125.7</v>
      </c>
      <c r="U92" s="5">
        <v>119</v>
      </c>
      <c r="V92" s="5">
        <v>119.8</v>
      </c>
      <c r="W92" s="5">
        <v>121.1</v>
      </c>
      <c r="X92" s="5">
        <v>118.5</v>
      </c>
      <c r="Y92" s="5">
        <v>112.9</v>
      </c>
      <c r="Z92" s="5">
        <v>116.9</v>
      </c>
      <c r="AA92" s="5">
        <v>123.1</v>
      </c>
      <c r="AB92" s="5">
        <v>112.8</v>
      </c>
      <c r="AC92" s="5">
        <v>117</v>
      </c>
      <c r="AD92" s="5">
        <v>123</v>
      </c>
    </row>
    <row r="93" spans="1:30" x14ac:dyDescent="0.35">
      <c r="A93" s="5" t="s">
        <v>30</v>
      </c>
      <c r="B93" s="5">
        <v>2015</v>
      </c>
      <c r="C93" s="5" t="s">
        <v>40</v>
      </c>
      <c r="D93" s="11">
        <v>124</v>
      </c>
      <c r="E93" s="5">
        <v>131.5</v>
      </c>
      <c r="F93" s="5">
        <v>122</v>
      </c>
      <c r="G93" s="5">
        <v>128.69999999999999</v>
      </c>
      <c r="H93" s="5">
        <v>113.5</v>
      </c>
      <c r="I93" s="5">
        <v>133.30000000000001</v>
      </c>
      <c r="J93" s="5">
        <v>140.80000000000001</v>
      </c>
      <c r="K93" s="5">
        <v>133.80000000000001</v>
      </c>
      <c r="L93" s="5">
        <v>94.1</v>
      </c>
      <c r="M93" s="5">
        <v>123.4</v>
      </c>
      <c r="N93" s="5">
        <v>121</v>
      </c>
      <c r="O93" s="5">
        <v>131.69999999999999</v>
      </c>
      <c r="P93" s="5">
        <v>127.5</v>
      </c>
      <c r="Q93" s="5">
        <v>129.4</v>
      </c>
      <c r="R93" s="5">
        <v>128.80000000000001</v>
      </c>
      <c r="S93" s="5">
        <v>125.5</v>
      </c>
      <c r="T93" s="5">
        <v>128.30000000000001</v>
      </c>
      <c r="U93" s="5" t="s">
        <v>32</v>
      </c>
      <c r="V93" s="5">
        <v>123</v>
      </c>
      <c r="W93" s="5">
        <v>123</v>
      </c>
      <c r="X93" s="5">
        <v>120.8</v>
      </c>
      <c r="Y93" s="5">
        <v>114.1</v>
      </c>
      <c r="Z93" s="5">
        <v>118</v>
      </c>
      <c r="AA93" s="5">
        <v>122.9</v>
      </c>
      <c r="AB93" s="5">
        <v>112.7</v>
      </c>
      <c r="AC93" s="5">
        <v>118.1</v>
      </c>
      <c r="AD93" s="5">
        <v>124.7</v>
      </c>
    </row>
    <row r="94" spans="1:30" x14ac:dyDescent="0.35">
      <c r="A94" s="5" t="s">
        <v>33</v>
      </c>
      <c r="B94" s="5">
        <v>2015</v>
      </c>
      <c r="C94" s="5" t="s">
        <v>40</v>
      </c>
      <c r="D94" s="11">
        <v>123.2</v>
      </c>
      <c r="E94" s="5">
        <v>134.30000000000001</v>
      </c>
      <c r="F94" s="5">
        <v>119.5</v>
      </c>
      <c r="G94" s="5">
        <v>127.7</v>
      </c>
      <c r="H94" s="5">
        <v>106.3</v>
      </c>
      <c r="I94" s="5">
        <v>132.80000000000001</v>
      </c>
      <c r="J94" s="5">
        <v>153.5</v>
      </c>
      <c r="K94" s="5">
        <v>149.5</v>
      </c>
      <c r="L94" s="5">
        <v>85.7</v>
      </c>
      <c r="M94" s="5">
        <v>131.5</v>
      </c>
      <c r="N94" s="5">
        <v>118.3</v>
      </c>
      <c r="O94" s="5">
        <v>131.1</v>
      </c>
      <c r="P94" s="5">
        <v>129.5</v>
      </c>
      <c r="Q94" s="5">
        <v>133.1</v>
      </c>
      <c r="R94" s="5">
        <v>123.5</v>
      </c>
      <c r="S94" s="5">
        <v>117.9</v>
      </c>
      <c r="T94" s="5">
        <v>122.7</v>
      </c>
      <c r="U94" s="5">
        <v>119.9</v>
      </c>
      <c r="V94" s="5">
        <v>115.3</v>
      </c>
      <c r="W94" s="5">
        <v>119.5</v>
      </c>
      <c r="X94" s="5">
        <v>116</v>
      </c>
      <c r="Y94" s="5">
        <v>111.5</v>
      </c>
      <c r="Z94" s="5">
        <v>116.6</v>
      </c>
      <c r="AA94" s="5">
        <v>125.4</v>
      </c>
      <c r="AB94" s="5">
        <v>111.7</v>
      </c>
      <c r="AC94" s="5">
        <v>116.3</v>
      </c>
      <c r="AD94" s="5">
        <v>122.4</v>
      </c>
    </row>
    <row r="95" spans="1:30" x14ac:dyDescent="0.35">
      <c r="A95" s="5" t="s">
        <v>34</v>
      </c>
      <c r="B95" s="5">
        <v>2015</v>
      </c>
      <c r="C95" s="5" t="s">
        <v>40</v>
      </c>
      <c r="D95" s="11">
        <v>123.7</v>
      </c>
      <c r="E95" s="5">
        <v>132.5</v>
      </c>
      <c r="F95" s="5">
        <v>121</v>
      </c>
      <c r="G95" s="5">
        <v>128.30000000000001</v>
      </c>
      <c r="H95" s="5">
        <v>110.9</v>
      </c>
      <c r="I95" s="5">
        <v>133.1</v>
      </c>
      <c r="J95" s="5">
        <v>145.1</v>
      </c>
      <c r="K95" s="5">
        <v>139.1</v>
      </c>
      <c r="L95" s="5">
        <v>91.3</v>
      </c>
      <c r="M95" s="5">
        <v>126.1</v>
      </c>
      <c r="N95" s="5">
        <v>119.9</v>
      </c>
      <c r="O95" s="5">
        <v>131.4</v>
      </c>
      <c r="P95" s="5">
        <v>128.19999999999999</v>
      </c>
      <c r="Q95" s="5">
        <v>130.4</v>
      </c>
      <c r="R95" s="5">
        <v>126.7</v>
      </c>
      <c r="S95" s="5">
        <v>122.3</v>
      </c>
      <c r="T95" s="5">
        <v>126.1</v>
      </c>
      <c r="U95" s="5">
        <v>119.9</v>
      </c>
      <c r="V95" s="5">
        <v>120.1</v>
      </c>
      <c r="W95" s="5">
        <v>121.3</v>
      </c>
      <c r="X95" s="5">
        <v>119</v>
      </c>
      <c r="Y95" s="5">
        <v>112.7</v>
      </c>
      <c r="Z95" s="5">
        <v>117.2</v>
      </c>
      <c r="AA95" s="5">
        <v>124.4</v>
      </c>
      <c r="AB95" s="5">
        <v>112.3</v>
      </c>
      <c r="AC95" s="5">
        <v>117.2</v>
      </c>
      <c r="AD95" s="5">
        <v>123.6</v>
      </c>
    </row>
    <row r="96" spans="1:30" x14ac:dyDescent="0.35">
      <c r="A96" s="5" t="s">
        <v>30</v>
      </c>
      <c r="B96" s="5">
        <v>2015</v>
      </c>
      <c r="C96" s="5" t="s">
        <v>41</v>
      </c>
      <c r="D96" s="11">
        <v>124.7</v>
      </c>
      <c r="E96" s="5">
        <v>131.30000000000001</v>
      </c>
      <c r="F96" s="5">
        <v>121.3</v>
      </c>
      <c r="G96" s="5">
        <v>128.80000000000001</v>
      </c>
      <c r="H96" s="5">
        <v>114</v>
      </c>
      <c r="I96" s="5">
        <v>134.19999999999999</v>
      </c>
      <c r="J96" s="5">
        <v>153.6</v>
      </c>
      <c r="K96" s="5">
        <v>137.9</v>
      </c>
      <c r="L96" s="5">
        <v>93.1</v>
      </c>
      <c r="M96" s="5">
        <v>123.9</v>
      </c>
      <c r="N96" s="5">
        <v>121.5</v>
      </c>
      <c r="O96" s="5">
        <v>132.5</v>
      </c>
      <c r="P96" s="5">
        <v>129.80000000000001</v>
      </c>
      <c r="Q96" s="5">
        <v>130.1</v>
      </c>
      <c r="R96" s="5">
        <v>129.5</v>
      </c>
      <c r="S96" s="5">
        <v>126.3</v>
      </c>
      <c r="T96" s="5">
        <v>129</v>
      </c>
      <c r="U96" s="5" t="s">
        <v>32</v>
      </c>
      <c r="V96" s="5">
        <v>123.8</v>
      </c>
      <c r="W96" s="5">
        <v>123.7</v>
      </c>
      <c r="X96" s="5">
        <v>121.1</v>
      </c>
      <c r="Y96" s="5">
        <v>113.6</v>
      </c>
      <c r="Z96" s="5">
        <v>118.5</v>
      </c>
      <c r="AA96" s="5">
        <v>123.6</v>
      </c>
      <c r="AB96" s="5">
        <v>112.5</v>
      </c>
      <c r="AC96" s="5">
        <v>118.2</v>
      </c>
      <c r="AD96" s="5">
        <v>126.1</v>
      </c>
    </row>
    <row r="97" spans="1:30" x14ac:dyDescent="0.35">
      <c r="A97" s="5" t="s">
        <v>33</v>
      </c>
      <c r="B97" s="5">
        <v>2015</v>
      </c>
      <c r="C97" s="5" t="s">
        <v>41</v>
      </c>
      <c r="D97" s="11">
        <v>123.1</v>
      </c>
      <c r="E97" s="5">
        <v>131.69999999999999</v>
      </c>
      <c r="F97" s="5">
        <v>118.1</v>
      </c>
      <c r="G97" s="5">
        <v>128</v>
      </c>
      <c r="H97" s="5">
        <v>106.8</v>
      </c>
      <c r="I97" s="5">
        <v>130.1</v>
      </c>
      <c r="J97" s="5">
        <v>165.5</v>
      </c>
      <c r="K97" s="5">
        <v>156</v>
      </c>
      <c r="L97" s="5">
        <v>85.3</v>
      </c>
      <c r="M97" s="5">
        <v>132.69999999999999</v>
      </c>
      <c r="N97" s="5">
        <v>118.8</v>
      </c>
      <c r="O97" s="5">
        <v>131.69999999999999</v>
      </c>
      <c r="P97" s="5">
        <v>131.1</v>
      </c>
      <c r="Q97" s="5">
        <v>134.19999999999999</v>
      </c>
      <c r="R97" s="5">
        <v>123.7</v>
      </c>
      <c r="S97" s="5">
        <v>118.2</v>
      </c>
      <c r="T97" s="5">
        <v>122.9</v>
      </c>
      <c r="U97" s="5">
        <v>120.9</v>
      </c>
      <c r="V97" s="5">
        <v>115.3</v>
      </c>
      <c r="W97" s="5">
        <v>120</v>
      </c>
      <c r="X97" s="5">
        <v>116.6</v>
      </c>
      <c r="Y97" s="5">
        <v>109.9</v>
      </c>
      <c r="Z97" s="5">
        <v>117.2</v>
      </c>
      <c r="AA97" s="5">
        <v>126.2</v>
      </c>
      <c r="AB97" s="5">
        <v>112</v>
      </c>
      <c r="AC97" s="5">
        <v>116.2</v>
      </c>
      <c r="AD97" s="5">
        <v>123.2</v>
      </c>
    </row>
    <row r="98" spans="1:30" x14ac:dyDescent="0.35">
      <c r="A98" s="5" t="s">
        <v>34</v>
      </c>
      <c r="B98" s="5">
        <v>2015</v>
      </c>
      <c r="C98" s="5" t="s">
        <v>41</v>
      </c>
      <c r="D98" s="11">
        <v>124.2</v>
      </c>
      <c r="E98" s="5">
        <v>131.4</v>
      </c>
      <c r="F98" s="5">
        <v>120.1</v>
      </c>
      <c r="G98" s="5">
        <v>128.5</v>
      </c>
      <c r="H98" s="5">
        <v>111.4</v>
      </c>
      <c r="I98" s="5">
        <v>132.30000000000001</v>
      </c>
      <c r="J98" s="5">
        <v>157.6</v>
      </c>
      <c r="K98" s="5">
        <v>144</v>
      </c>
      <c r="L98" s="5">
        <v>90.5</v>
      </c>
      <c r="M98" s="5">
        <v>126.8</v>
      </c>
      <c r="N98" s="5">
        <v>120.4</v>
      </c>
      <c r="O98" s="5">
        <v>132.1</v>
      </c>
      <c r="P98" s="5">
        <v>130.30000000000001</v>
      </c>
      <c r="Q98" s="5">
        <v>131.19999999999999</v>
      </c>
      <c r="R98" s="5">
        <v>127.2</v>
      </c>
      <c r="S98" s="5">
        <v>122.9</v>
      </c>
      <c r="T98" s="5">
        <v>126.6</v>
      </c>
      <c r="U98" s="5">
        <v>120.9</v>
      </c>
      <c r="V98" s="5">
        <v>120.6</v>
      </c>
      <c r="W98" s="5">
        <v>122</v>
      </c>
      <c r="X98" s="5">
        <v>119.4</v>
      </c>
      <c r="Y98" s="5">
        <v>111.7</v>
      </c>
      <c r="Z98" s="5">
        <v>117.8</v>
      </c>
      <c r="AA98" s="5">
        <v>125.1</v>
      </c>
      <c r="AB98" s="5">
        <v>112.3</v>
      </c>
      <c r="AC98" s="5">
        <v>117.2</v>
      </c>
      <c r="AD98" s="5">
        <v>124.8</v>
      </c>
    </row>
    <row r="99" spans="1:30" x14ac:dyDescent="0.35">
      <c r="A99" s="5" t="s">
        <v>30</v>
      </c>
      <c r="B99" s="5">
        <v>2015</v>
      </c>
      <c r="C99" s="5" t="s">
        <v>42</v>
      </c>
      <c r="D99" s="11">
        <v>125.1</v>
      </c>
      <c r="E99" s="5">
        <v>131.1</v>
      </c>
      <c r="F99" s="5">
        <v>120.7</v>
      </c>
      <c r="G99" s="5">
        <v>129.19999999999999</v>
      </c>
      <c r="H99" s="5">
        <v>114.7</v>
      </c>
      <c r="I99" s="5">
        <v>132.30000000000001</v>
      </c>
      <c r="J99" s="5">
        <v>158.9</v>
      </c>
      <c r="K99" s="5">
        <v>142.1</v>
      </c>
      <c r="L99" s="5">
        <v>92.5</v>
      </c>
      <c r="M99" s="5">
        <v>125.4</v>
      </c>
      <c r="N99" s="5">
        <v>121.9</v>
      </c>
      <c r="O99" s="5">
        <v>132.69999999999999</v>
      </c>
      <c r="P99" s="5">
        <v>131</v>
      </c>
      <c r="Q99" s="5">
        <v>131</v>
      </c>
      <c r="R99" s="5">
        <v>130.4</v>
      </c>
      <c r="S99" s="5">
        <v>126.8</v>
      </c>
      <c r="T99" s="5">
        <v>129.9</v>
      </c>
      <c r="U99" s="5" t="s">
        <v>32</v>
      </c>
      <c r="V99" s="5">
        <v>123.7</v>
      </c>
      <c r="W99" s="5">
        <v>124.5</v>
      </c>
      <c r="X99" s="5">
        <v>121.4</v>
      </c>
      <c r="Y99" s="5">
        <v>113.8</v>
      </c>
      <c r="Z99" s="5">
        <v>119.6</v>
      </c>
      <c r="AA99" s="5">
        <v>124.5</v>
      </c>
      <c r="AB99" s="5">
        <v>113.7</v>
      </c>
      <c r="AC99" s="5">
        <v>118.8</v>
      </c>
      <c r="AD99" s="5">
        <v>127</v>
      </c>
    </row>
    <row r="100" spans="1:30" x14ac:dyDescent="0.35">
      <c r="A100" s="5" t="s">
        <v>33</v>
      </c>
      <c r="B100" s="5">
        <v>2015</v>
      </c>
      <c r="C100" s="5" t="s">
        <v>42</v>
      </c>
      <c r="D100" s="11">
        <v>123.4</v>
      </c>
      <c r="E100" s="5">
        <v>129</v>
      </c>
      <c r="F100" s="5">
        <v>115.6</v>
      </c>
      <c r="G100" s="5">
        <v>128.30000000000001</v>
      </c>
      <c r="H100" s="5">
        <v>107</v>
      </c>
      <c r="I100" s="5">
        <v>124</v>
      </c>
      <c r="J100" s="5">
        <v>168.5</v>
      </c>
      <c r="K100" s="5">
        <v>165.4</v>
      </c>
      <c r="L100" s="5">
        <v>86.3</v>
      </c>
      <c r="M100" s="5">
        <v>134.4</v>
      </c>
      <c r="N100" s="5">
        <v>119.1</v>
      </c>
      <c r="O100" s="5">
        <v>132.30000000000001</v>
      </c>
      <c r="P100" s="5">
        <v>131.5</v>
      </c>
      <c r="Q100" s="5">
        <v>134.69999999999999</v>
      </c>
      <c r="R100" s="5">
        <v>124</v>
      </c>
      <c r="S100" s="5">
        <v>118.6</v>
      </c>
      <c r="T100" s="5">
        <v>123.2</v>
      </c>
      <c r="U100" s="5">
        <v>121.6</v>
      </c>
      <c r="V100" s="5">
        <v>115.1</v>
      </c>
      <c r="W100" s="5">
        <v>120.4</v>
      </c>
      <c r="X100" s="5">
        <v>117.1</v>
      </c>
      <c r="Y100" s="5">
        <v>109.1</v>
      </c>
      <c r="Z100" s="5">
        <v>117.3</v>
      </c>
      <c r="AA100" s="5">
        <v>126.5</v>
      </c>
      <c r="AB100" s="5">
        <v>112.9</v>
      </c>
      <c r="AC100" s="5">
        <v>116.2</v>
      </c>
      <c r="AD100" s="5">
        <v>123.5</v>
      </c>
    </row>
    <row r="101" spans="1:30" x14ac:dyDescent="0.35">
      <c r="A101" s="5" t="s">
        <v>34</v>
      </c>
      <c r="B101" s="5">
        <v>2015</v>
      </c>
      <c r="C101" s="5" t="s">
        <v>42</v>
      </c>
      <c r="D101" s="11">
        <v>124.6</v>
      </c>
      <c r="E101" s="5">
        <v>130.4</v>
      </c>
      <c r="F101" s="5">
        <v>118.7</v>
      </c>
      <c r="G101" s="5">
        <v>128.9</v>
      </c>
      <c r="H101" s="5">
        <v>111.9</v>
      </c>
      <c r="I101" s="5">
        <v>128.4</v>
      </c>
      <c r="J101" s="5">
        <v>162.19999999999999</v>
      </c>
      <c r="K101" s="5">
        <v>150</v>
      </c>
      <c r="L101" s="5">
        <v>90.4</v>
      </c>
      <c r="M101" s="5">
        <v>128.4</v>
      </c>
      <c r="N101" s="5">
        <v>120.7</v>
      </c>
      <c r="O101" s="5">
        <v>132.5</v>
      </c>
      <c r="P101" s="5">
        <v>131.19999999999999</v>
      </c>
      <c r="Q101" s="5">
        <v>132</v>
      </c>
      <c r="R101" s="5">
        <v>127.9</v>
      </c>
      <c r="S101" s="5">
        <v>123.4</v>
      </c>
      <c r="T101" s="5">
        <v>127.2</v>
      </c>
      <c r="U101" s="5">
        <v>121.6</v>
      </c>
      <c r="V101" s="5">
        <v>120.4</v>
      </c>
      <c r="W101" s="5">
        <v>122.6</v>
      </c>
      <c r="X101" s="5">
        <v>119.8</v>
      </c>
      <c r="Y101" s="5">
        <v>111.3</v>
      </c>
      <c r="Z101" s="5">
        <v>118.3</v>
      </c>
      <c r="AA101" s="5">
        <v>125.7</v>
      </c>
      <c r="AB101" s="5">
        <v>113.4</v>
      </c>
      <c r="AC101" s="5">
        <v>117.5</v>
      </c>
      <c r="AD101" s="5">
        <v>125.4</v>
      </c>
    </row>
    <row r="102" spans="1:30" x14ac:dyDescent="0.35">
      <c r="A102" s="5" t="s">
        <v>30</v>
      </c>
      <c r="B102" s="5">
        <v>2015</v>
      </c>
      <c r="C102" s="5" t="s">
        <v>43</v>
      </c>
      <c r="D102" s="11">
        <v>125.6</v>
      </c>
      <c r="E102" s="5">
        <v>130.4</v>
      </c>
      <c r="F102" s="5">
        <v>120.8</v>
      </c>
      <c r="G102" s="5">
        <v>129.4</v>
      </c>
      <c r="H102" s="5">
        <v>115.8</v>
      </c>
      <c r="I102" s="5">
        <v>133.19999999999999</v>
      </c>
      <c r="J102" s="5">
        <v>157.69999999999999</v>
      </c>
      <c r="K102" s="5">
        <v>154.19999999999999</v>
      </c>
      <c r="L102" s="5">
        <v>93.7</v>
      </c>
      <c r="M102" s="5">
        <v>126.6</v>
      </c>
      <c r="N102" s="5">
        <v>122.3</v>
      </c>
      <c r="O102" s="5">
        <v>133.1</v>
      </c>
      <c r="P102" s="5">
        <v>131.80000000000001</v>
      </c>
      <c r="Q102" s="5">
        <v>131.5</v>
      </c>
      <c r="R102" s="5">
        <v>131.1</v>
      </c>
      <c r="S102" s="5">
        <v>127.3</v>
      </c>
      <c r="T102" s="5">
        <v>130.6</v>
      </c>
      <c r="U102" s="5" t="s">
        <v>32</v>
      </c>
      <c r="V102" s="5">
        <v>124.4</v>
      </c>
      <c r="W102" s="5">
        <v>125.1</v>
      </c>
      <c r="X102" s="5">
        <v>122</v>
      </c>
      <c r="Y102" s="5">
        <v>113.8</v>
      </c>
      <c r="Z102" s="5">
        <v>120.1</v>
      </c>
      <c r="AA102" s="5">
        <v>125.1</v>
      </c>
      <c r="AB102" s="5">
        <v>114.2</v>
      </c>
      <c r="AC102" s="5">
        <v>119.2</v>
      </c>
      <c r="AD102" s="5">
        <v>127.7</v>
      </c>
    </row>
    <row r="103" spans="1:30" x14ac:dyDescent="0.35">
      <c r="A103" s="5" t="s">
        <v>33</v>
      </c>
      <c r="B103" s="5">
        <v>2015</v>
      </c>
      <c r="C103" s="5" t="s">
        <v>43</v>
      </c>
      <c r="D103" s="11">
        <v>123.6</v>
      </c>
      <c r="E103" s="5">
        <v>128.6</v>
      </c>
      <c r="F103" s="5">
        <v>115.9</v>
      </c>
      <c r="G103" s="5">
        <v>128.5</v>
      </c>
      <c r="H103" s="5">
        <v>109</v>
      </c>
      <c r="I103" s="5">
        <v>124.1</v>
      </c>
      <c r="J103" s="5">
        <v>165.8</v>
      </c>
      <c r="K103" s="5">
        <v>187.2</v>
      </c>
      <c r="L103" s="5">
        <v>89.4</v>
      </c>
      <c r="M103" s="5">
        <v>135.80000000000001</v>
      </c>
      <c r="N103" s="5">
        <v>119.4</v>
      </c>
      <c r="O103" s="5">
        <v>132.9</v>
      </c>
      <c r="P103" s="5">
        <v>132.6</v>
      </c>
      <c r="Q103" s="5">
        <v>135.30000000000001</v>
      </c>
      <c r="R103" s="5">
        <v>124.4</v>
      </c>
      <c r="S103" s="5">
        <v>118.8</v>
      </c>
      <c r="T103" s="5">
        <v>123.6</v>
      </c>
      <c r="U103" s="5">
        <v>122.4</v>
      </c>
      <c r="V103" s="5">
        <v>114.9</v>
      </c>
      <c r="W103" s="5">
        <v>120.7</v>
      </c>
      <c r="X103" s="5">
        <v>117.7</v>
      </c>
      <c r="Y103" s="5">
        <v>109.3</v>
      </c>
      <c r="Z103" s="5">
        <v>117.7</v>
      </c>
      <c r="AA103" s="5">
        <v>126.5</v>
      </c>
      <c r="AB103" s="5">
        <v>113.5</v>
      </c>
      <c r="AC103" s="5">
        <v>116.5</v>
      </c>
      <c r="AD103" s="5">
        <v>124.2</v>
      </c>
    </row>
    <row r="104" spans="1:30" x14ac:dyDescent="0.35">
      <c r="A104" s="5" t="s">
        <v>34</v>
      </c>
      <c r="B104" s="5">
        <v>2015</v>
      </c>
      <c r="C104" s="5" t="s">
        <v>43</v>
      </c>
      <c r="D104" s="11">
        <v>125</v>
      </c>
      <c r="E104" s="5">
        <v>129.80000000000001</v>
      </c>
      <c r="F104" s="5">
        <v>118.9</v>
      </c>
      <c r="G104" s="5">
        <v>129.1</v>
      </c>
      <c r="H104" s="5">
        <v>113.3</v>
      </c>
      <c r="I104" s="5">
        <v>129</v>
      </c>
      <c r="J104" s="5">
        <v>160.4</v>
      </c>
      <c r="K104" s="5">
        <v>165.3</v>
      </c>
      <c r="L104" s="5">
        <v>92.3</v>
      </c>
      <c r="M104" s="5">
        <v>129.69999999999999</v>
      </c>
      <c r="N104" s="5">
        <v>121.1</v>
      </c>
      <c r="O104" s="5">
        <v>133</v>
      </c>
      <c r="P104" s="5">
        <v>132.1</v>
      </c>
      <c r="Q104" s="5">
        <v>132.5</v>
      </c>
      <c r="R104" s="5">
        <v>128.5</v>
      </c>
      <c r="S104" s="5">
        <v>123.8</v>
      </c>
      <c r="T104" s="5">
        <v>127.8</v>
      </c>
      <c r="U104" s="5">
        <v>122.4</v>
      </c>
      <c r="V104" s="5">
        <v>120.8</v>
      </c>
      <c r="W104" s="5">
        <v>123</v>
      </c>
      <c r="X104" s="5">
        <v>120.4</v>
      </c>
      <c r="Y104" s="5">
        <v>111.4</v>
      </c>
      <c r="Z104" s="5">
        <v>118.7</v>
      </c>
      <c r="AA104" s="5">
        <v>125.9</v>
      </c>
      <c r="AB104" s="5">
        <v>113.9</v>
      </c>
      <c r="AC104" s="5">
        <v>117.9</v>
      </c>
      <c r="AD104" s="5">
        <v>126.1</v>
      </c>
    </row>
    <row r="105" spans="1:30" x14ac:dyDescent="0.35">
      <c r="A105" s="5" t="s">
        <v>30</v>
      </c>
      <c r="B105" s="5">
        <v>2015</v>
      </c>
      <c r="C105" s="5" t="s">
        <v>45</v>
      </c>
      <c r="D105" s="11">
        <v>126.1</v>
      </c>
      <c r="E105" s="5">
        <v>130.6</v>
      </c>
      <c r="F105" s="5">
        <v>121.7</v>
      </c>
      <c r="G105" s="5">
        <v>129.5</v>
      </c>
      <c r="H105" s="5">
        <v>117.8</v>
      </c>
      <c r="I105" s="5">
        <v>132.1</v>
      </c>
      <c r="J105" s="5">
        <v>155.19999999999999</v>
      </c>
      <c r="K105" s="5">
        <v>160.80000000000001</v>
      </c>
      <c r="L105" s="5">
        <v>94.5</v>
      </c>
      <c r="M105" s="5">
        <v>128.30000000000001</v>
      </c>
      <c r="N105" s="5">
        <v>123.1</v>
      </c>
      <c r="O105" s="5">
        <v>134.19999999999999</v>
      </c>
      <c r="P105" s="5">
        <v>132.4</v>
      </c>
      <c r="Q105" s="5">
        <v>132.19999999999999</v>
      </c>
      <c r="R105" s="5">
        <v>132.1</v>
      </c>
      <c r="S105" s="5">
        <v>128.19999999999999</v>
      </c>
      <c r="T105" s="5">
        <v>131.5</v>
      </c>
      <c r="U105" s="5" t="s">
        <v>32</v>
      </c>
      <c r="V105" s="5">
        <v>125.6</v>
      </c>
      <c r="W105" s="5">
        <v>125.6</v>
      </c>
      <c r="X105" s="5">
        <v>122.6</v>
      </c>
      <c r="Y105" s="5">
        <v>114</v>
      </c>
      <c r="Z105" s="5">
        <v>120.9</v>
      </c>
      <c r="AA105" s="5">
        <v>125.8</v>
      </c>
      <c r="AB105" s="5">
        <v>114.2</v>
      </c>
      <c r="AC105" s="5">
        <v>119.6</v>
      </c>
      <c r="AD105" s="5">
        <v>128.30000000000001</v>
      </c>
    </row>
    <row r="106" spans="1:30" x14ac:dyDescent="0.35">
      <c r="A106" s="5" t="s">
        <v>33</v>
      </c>
      <c r="B106" s="5">
        <v>2015</v>
      </c>
      <c r="C106" s="5" t="s">
        <v>45</v>
      </c>
      <c r="D106" s="11">
        <v>124</v>
      </c>
      <c r="E106" s="5">
        <v>129.80000000000001</v>
      </c>
      <c r="F106" s="5">
        <v>121.5</v>
      </c>
      <c r="G106" s="5">
        <v>128.6</v>
      </c>
      <c r="H106" s="5">
        <v>110</v>
      </c>
      <c r="I106" s="5">
        <v>123.7</v>
      </c>
      <c r="J106" s="5">
        <v>164.6</v>
      </c>
      <c r="K106" s="5">
        <v>191.6</v>
      </c>
      <c r="L106" s="5">
        <v>90.8</v>
      </c>
      <c r="M106" s="5">
        <v>137.1</v>
      </c>
      <c r="N106" s="5">
        <v>119.8</v>
      </c>
      <c r="O106" s="5">
        <v>133.69999999999999</v>
      </c>
      <c r="P106" s="5">
        <v>133.30000000000001</v>
      </c>
      <c r="Q106" s="5">
        <v>137.6</v>
      </c>
      <c r="R106" s="5">
        <v>125</v>
      </c>
      <c r="S106" s="5">
        <v>119.3</v>
      </c>
      <c r="T106" s="5">
        <v>124.2</v>
      </c>
      <c r="U106" s="5">
        <v>122.9</v>
      </c>
      <c r="V106" s="5">
        <v>115.1</v>
      </c>
      <c r="W106" s="5">
        <v>121</v>
      </c>
      <c r="X106" s="5">
        <v>118.1</v>
      </c>
      <c r="Y106" s="5">
        <v>109.3</v>
      </c>
      <c r="Z106" s="5">
        <v>117.9</v>
      </c>
      <c r="AA106" s="5">
        <v>126.6</v>
      </c>
      <c r="AB106" s="5">
        <v>113.3</v>
      </c>
      <c r="AC106" s="5">
        <v>116.6</v>
      </c>
      <c r="AD106" s="5">
        <v>124.6</v>
      </c>
    </row>
    <row r="107" spans="1:30" x14ac:dyDescent="0.35">
      <c r="A107" s="5" t="s">
        <v>34</v>
      </c>
      <c r="B107" s="5">
        <v>2015</v>
      </c>
      <c r="C107" s="5" t="s">
        <v>45</v>
      </c>
      <c r="D107" s="11">
        <v>125.4</v>
      </c>
      <c r="E107" s="5">
        <v>130.30000000000001</v>
      </c>
      <c r="F107" s="5">
        <v>121.6</v>
      </c>
      <c r="G107" s="5">
        <v>129.19999999999999</v>
      </c>
      <c r="H107" s="5">
        <v>114.9</v>
      </c>
      <c r="I107" s="5">
        <v>128.19999999999999</v>
      </c>
      <c r="J107" s="5">
        <v>158.4</v>
      </c>
      <c r="K107" s="5">
        <v>171.2</v>
      </c>
      <c r="L107" s="5">
        <v>93.3</v>
      </c>
      <c r="M107" s="5">
        <v>131.19999999999999</v>
      </c>
      <c r="N107" s="5">
        <v>121.7</v>
      </c>
      <c r="O107" s="5">
        <v>134</v>
      </c>
      <c r="P107" s="5">
        <v>132.69999999999999</v>
      </c>
      <c r="Q107" s="5">
        <v>133.6</v>
      </c>
      <c r="R107" s="5">
        <v>129.30000000000001</v>
      </c>
      <c r="S107" s="5">
        <v>124.5</v>
      </c>
      <c r="T107" s="5">
        <v>128.6</v>
      </c>
      <c r="U107" s="5">
        <v>122.9</v>
      </c>
      <c r="V107" s="5">
        <v>121.6</v>
      </c>
      <c r="W107" s="5">
        <v>123.4</v>
      </c>
      <c r="X107" s="5">
        <v>120.9</v>
      </c>
      <c r="Y107" s="5">
        <v>111.5</v>
      </c>
      <c r="Z107" s="5">
        <v>119.2</v>
      </c>
      <c r="AA107" s="5">
        <v>126.3</v>
      </c>
      <c r="AB107" s="5">
        <v>113.8</v>
      </c>
      <c r="AC107" s="5">
        <v>118.1</v>
      </c>
      <c r="AD107" s="5">
        <v>126.6</v>
      </c>
    </row>
    <row r="108" spans="1:30" x14ac:dyDescent="0.35">
      <c r="A108" s="5" t="s">
        <v>30</v>
      </c>
      <c r="B108" s="5">
        <v>2015</v>
      </c>
      <c r="C108" s="5" t="s">
        <v>46</v>
      </c>
      <c r="D108" s="11">
        <v>126.3</v>
      </c>
      <c r="E108" s="5">
        <v>131.30000000000001</v>
      </c>
      <c r="F108" s="5">
        <v>123.3</v>
      </c>
      <c r="G108" s="5">
        <v>129.80000000000001</v>
      </c>
      <c r="H108" s="5">
        <v>118.3</v>
      </c>
      <c r="I108" s="5">
        <v>131.6</v>
      </c>
      <c r="J108" s="5">
        <v>145.5</v>
      </c>
      <c r="K108" s="5">
        <v>162.1</v>
      </c>
      <c r="L108" s="5">
        <v>95.4</v>
      </c>
      <c r="M108" s="5">
        <v>128.9</v>
      </c>
      <c r="N108" s="5">
        <v>123.3</v>
      </c>
      <c r="O108" s="5">
        <v>135.1</v>
      </c>
      <c r="P108" s="5">
        <v>131.4</v>
      </c>
      <c r="Q108" s="5">
        <v>133.1</v>
      </c>
      <c r="R108" s="5">
        <v>132.5</v>
      </c>
      <c r="S108" s="5">
        <v>128.5</v>
      </c>
      <c r="T108" s="5">
        <v>131.9</v>
      </c>
      <c r="U108" s="5" t="s">
        <v>32</v>
      </c>
      <c r="V108" s="5">
        <v>125.7</v>
      </c>
      <c r="W108" s="5">
        <v>126</v>
      </c>
      <c r="X108" s="5">
        <v>123.1</v>
      </c>
      <c r="Y108" s="5">
        <v>114</v>
      </c>
      <c r="Z108" s="5">
        <v>121.6</v>
      </c>
      <c r="AA108" s="5">
        <v>125.6</v>
      </c>
      <c r="AB108" s="5">
        <v>114.1</v>
      </c>
      <c r="AC108" s="5">
        <v>119.8</v>
      </c>
      <c r="AD108" s="5">
        <v>127.9</v>
      </c>
    </row>
    <row r="109" spans="1:30" x14ac:dyDescent="0.35">
      <c r="A109" s="5" t="s">
        <v>33</v>
      </c>
      <c r="B109" s="5">
        <v>2015</v>
      </c>
      <c r="C109" s="5" t="s">
        <v>46</v>
      </c>
      <c r="D109" s="11">
        <v>124.3</v>
      </c>
      <c r="E109" s="5">
        <v>131.69999999999999</v>
      </c>
      <c r="F109" s="5">
        <v>127.1</v>
      </c>
      <c r="G109" s="5">
        <v>128.6</v>
      </c>
      <c r="H109" s="5">
        <v>110</v>
      </c>
      <c r="I109" s="5">
        <v>120.8</v>
      </c>
      <c r="J109" s="5">
        <v>149</v>
      </c>
      <c r="K109" s="5">
        <v>190.1</v>
      </c>
      <c r="L109" s="5">
        <v>92.7</v>
      </c>
      <c r="M109" s="5">
        <v>138.6</v>
      </c>
      <c r="N109" s="5">
        <v>120.2</v>
      </c>
      <c r="O109" s="5">
        <v>134.19999999999999</v>
      </c>
      <c r="P109" s="5">
        <v>131.5</v>
      </c>
      <c r="Q109" s="5">
        <v>138.19999999999999</v>
      </c>
      <c r="R109" s="5">
        <v>125.4</v>
      </c>
      <c r="S109" s="5">
        <v>119.5</v>
      </c>
      <c r="T109" s="5">
        <v>124.5</v>
      </c>
      <c r="U109" s="5">
        <v>122.4</v>
      </c>
      <c r="V109" s="5">
        <v>116</v>
      </c>
      <c r="W109" s="5">
        <v>121</v>
      </c>
      <c r="X109" s="5">
        <v>118.6</v>
      </c>
      <c r="Y109" s="5">
        <v>109.3</v>
      </c>
      <c r="Z109" s="5">
        <v>118.1</v>
      </c>
      <c r="AA109" s="5">
        <v>126.6</v>
      </c>
      <c r="AB109" s="5">
        <v>113.2</v>
      </c>
      <c r="AC109" s="5">
        <v>116.7</v>
      </c>
      <c r="AD109" s="5">
        <v>124</v>
      </c>
    </row>
    <row r="110" spans="1:30" x14ac:dyDescent="0.35">
      <c r="A110" s="5" t="s">
        <v>34</v>
      </c>
      <c r="B110" s="5">
        <v>2015</v>
      </c>
      <c r="C110" s="5" t="s">
        <v>46</v>
      </c>
      <c r="D110" s="11">
        <v>125.7</v>
      </c>
      <c r="E110" s="5">
        <v>131.4</v>
      </c>
      <c r="F110" s="5">
        <v>124.8</v>
      </c>
      <c r="G110" s="5">
        <v>129.4</v>
      </c>
      <c r="H110" s="5">
        <v>115.3</v>
      </c>
      <c r="I110" s="5">
        <v>126.6</v>
      </c>
      <c r="J110" s="5">
        <v>146.69999999999999</v>
      </c>
      <c r="K110" s="5">
        <v>171.5</v>
      </c>
      <c r="L110" s="5">
        <v>94.5</v>
      </c>
      <c r="M110" s="5">
        <v>132.1</v>
      </c>
      <c r="N110" s="5">
        <v>122</v>
      </c>
      <c r="O110" s="5">
        <v>134.69999999999999</v>
      </c>
      <c r="P110" s="5">
        <v>131.4</v>
      </c>
      <c r="Q110" s="5">
        <v>134.5</v>
      </c>
      <c r="R110" s="5">
        <v>129.69999999999999</v>
      </c>
      <c r="S110" s="5">
        <v>124.8</v>
      </c>
      <c r="T110" s="5">
        <v>129</v>
      </c>
      <c r="U110" s="5">
        <v>122.4</v>
      </c>
      <c r="V110" s="5">
        <v>122</v>
      </c>
      <c r="W110" s="5">
        <v>123.6</v>
      </c>
      <c r="X110" s="5">
        <v>121.4</v>
      </c>
      <c r="Y110" s="5">
        <v>111.5</v>
      </c>
      <c r="Z110" s="5">
        <v>119.6</v>
      </c>
      <c r="AA110" s="5">
        <v>126.2</v>
      </c>
      <c r="AB110" s="5">
        <v>113.7</v>
      </c>
      <c r="AC110" s="5">
        <v>118.3</v>
      </c>
      <c r="AD110" s="5">
        <v>126.1</v>
      </c>
    </row>
    <row r="111" spans="1:30" x14ac:dyDescent="0.35">
      <c r="A111" s="5" t="s">
        <v>30</v>
      </c>
      <c r="B111" s="5">
        <v>2016</v>
      </c>
      <c r="C111" s="5" t="s">
        <v>31</v>
      </c>
      <c r="D111" s="11">
        <v>126.8</v>
      </c>
      <c r="E111" s="5">
        <v>133.19999999999999</v>
      </c>
      <c r="F111" s="5">
        <v>126.5</v>
      </c>
      <c r="G111" s="5">
        <v>130.30000000000001</v>
      </c>
      <c r="H111" s="5">
        <v>118.9</v>
      </c>
      <c r="I111" s="5">
        <v>131.6</v>
      </c>
      <c r="J111" s="5">
        <v>140.1</v>
      </c>
      <c r="K111" s="5">
        <v>163.80000000000001</v>
      </c>
      <c r="L111" s="5">
        <v>97.7</v>
      </c>
      <c r="M111" s="5">
        <v>129.6</v>
      </c>
      <c r="N111" s="5">
        <v>124.3</v>
      </c>
      <c r="O111" s="5">
        <v>135.9</v>
      </c>
      <c r="P111" s="5">
        <v>131.4</v>
      </c>
      <c r="Q111" s="5">
        <v>133.6</v>
      </c>
      <c r="R111" s="5">
        <v>133.19999999999999</v>
      </c>
      <c r="S111" s="5">
        <v>128.9</v>
      </c>
      <c r="T111" s="5">
        <v>132.6</v>
      </c>
      <c r="U111" s="5" t="s">
        <v>32</v>
      </c>
      <c r="V111" s="5">
        <v>126.2</v>
      </c>
      <c r="W111" s="5">
        <v>126.6</v>
      </c>
      <c r="X111" s="5">
        <v>123.7</v>
      </c>
      <c r="Y111" s="5">
        <v>113.6</v>
      </c>
      <c r="Z111" s="5">
        <v>121.4</v>
      </c>
      <c r="AA111" s="5">
        <v>126.2</v>
      </c>
      <c r="AB111" s="5">
        <v>114.9</v>
      </c>
      <c r="AC111" s="5">
        <v>120.1</v>
      </c>
      <c r="AD111" s="5">
        <v>128.1</v>
      </c>
    </row>
    <row r="112" spans="1:30" x14ac:dyDescent="0.35">
      <c r="A112" s="5" t="s">
        <v>33</v>
      </c>
      <c r="B112" s="5">
        <v>2016</v>
      </c>
      <c r="C112" s="5" t="s">
        <v>31</v>
      </c>
      <c r="D112" s="11">
        <v>124.7</v>
      </c>
      <c r="E112" s="5">
        <v>135.9</v>
      </c>
      <c r="F112" s="5">
        <v>132</v>
      </c>
      <c r="G112" s="5">
        <v>129.19999999999999</v>
      </c>
      <c r="H112" s="5">
        <v>109.7</v>
      </c>
      <c r="I112" s="5">
        <v>119</v>
      </c>
      <c r="J112" s="5">
        <v>144.1</v>
      </c>
      <c r="K112" s="5">
        <v>184.2</v>
      </c>
      <c r="L112" s="5">
        <v>96.7</v>
      </c>
      <c r="M112" s="5">
        <v>139.5</v>
      </c>
      <c r="N112" s="5">
        <v>120.5</v>
      </c>
      <c r="O112" s="5">
        <v>134.69999999999999</v>
      </c>
      <c r="P112" s="5">
        <v>131.19999999999999</v>
      </c>
      <c r="Q112" s="5">
        <v>139.5</v>
      </c>
      <c r="R112" s="5">
        <v>125.8</v>
      </c>
      <c r="S112" s="5">
        <v>119.8</v>
      </c>
      <c r="T112" s="5">
        <v>124.9</v>
      </c>
      <c r="U112" s="5">
        <v>123.4</v>
      </c>
      <c r="V112" s="5">
        <v>116.9</v>
      </c>
      <c r="W112" s="5">
        <v>121.6</v>
      </c>
      <c r="X112" s="5">
        <v>119.1</v>
      </c>
      <c r="Y112" s="5">
        <v>108.9</v>
      </c>
      <c r="Z112" s="5">
        <v>118.5</v>
      </c>
      <c r="AA112" s="5">
        <v>126.4</v>
      </c>
      <c r="AB112" s="5">
        <v>114</v>
      </c>
      <c r="AC112" s="5">
        <v>116.8</v>
      </c>
      <c r="AD112" s="5">
        <v>124.2</v>
      </c>
    </row>
    <row r="113" spans="1:30" x14ac:dyDescent="0.35">
      <c r="A113" s="5" t="s">
        <v>34</v>
      </c>
      <c r="B113" s="5">
        <v>2016</v>
      </c>
      <c r="C113" s="5" t="s">
        <v>31</v>
      </c>
      <c r="D113" s="11">
        <v>126.1</v>
      </c>
      <c r="E113" s="5">
        <v>134.1</v>
      </c>
      <c r="F113" s="5">
        <v>128.6</v>
      </c>
      <c r="G113" s="5">
        <v>129.9</v>
      </c>
      <c r="H113" s="5">
        <v>115.5</v>
      </c>
      <c r="I113" s="5">
        <v>125.7</v>
      </c>
      <c r="J113" s="5">
        <v>141.5</v>
      </c>
      <c r="K113" s="5">
        <v>170.7</v>
      </c>
      <c r="L113" s="5">
        <v>97.4</v>
      </c>
      <c r="M113" s="5">
        <v>132.9</v>
      </c>
      <c r="N113" s="5">
        <v>122.7</v>
      </c>
      <c r="O113" s="5">
        <v>135.30000000000001</v>
      </c>
      <c r="P113" s="5">
        <v>131.30000000000001</v>
      </c>
      <c r="Q113" s="5">
        <v>135.19999999999999</v>
      </c>
      <c r="R113" s="5">
        <v>130.30000000000001</v>
      </c>
      <c r="S113" s="5">
        <v>125.1</v>
      </c>
      <c r="T113" s="5">
        <v>129.5</v>
      </c>
      <c r="U113" s="5">
        <v>123.4</v>
      </c>
      <c r="V113" s="5">
        <v>122.7</v>
      </c>
      <c r="W113" s="5">
        <v>124.2</v>
      </c>
      <c r="X113" s="5">
        <v>122</v>
      </c>
      <c r="Y113" s="5">
        <v>111.1</v>
      </c>
      <c r="Z113" s="5">
        <v>119.8</v>
      </c>
      <c r="AA113" s="5">
        <v>126.3</v>
      </c>
      <c r="AB113" s="5">
        <v>114.5</v>
      </c>
      <c r="AC113" s="5">
        <v>118.5</v>
      </c>
      <c r="AD113" s="5">
        <v>126.3</v>
      </c>
    </row>
    <row r="114" spans="1:30" x14ac:dyDescent="0.35">
      <c r="A114" s="5" t="s">
        <v>30</v>
      </c>
      <c r="B114" s="5">
        <v>2016</v>
      </c>
      <c r="C114" s="5" t="s">
        <v>35</v>
      </c>
      <c r="D114" s="11">
        <v>127.1</v>
      </c>
      <c r="E114" s="5">
        <v>133.69999999999999</v>
      </c>
      <c r="F114" s="5">
        <v>127.7</v>
      </c>
      <c r="G114" s="5">
        <v>130.69999999999999</v>
      </c>
      <c r="H114" s="5">
        <v>118.5</v>
      </c>
      <c r="I114" s="5">
        <v>130.4</v>
      </c>
      <c r="J114" s="5">
        <v>130.9</v>
      </c>
      <c r="K114" s="5">
        <v>162.80000000000001</v>
      </c>
      <c r="L114" s="5">
        <v>98.7</v>
      </c>
      <c r="M114" s="5">
        <v>130.6</v>
      </c>
      <c r="N114" s="5">
        <v>124.8</v>
      </c>
      <c r="O114" s="5">
        <v>136.4</v>
      </c>
      <c r="P114" s="5">
        <v>130.30000000000001</v>
      </c>
      <c r="Q114" s="5">
        <v>134.4</v>
      </c>
      <c r="R114" s="5">
        <v>133.9</v>
      </c>
      <c r="S114" s="5">
        <v>129.80000000000001</v>
      </c>
      <c r="T114" s="5">
        <v>133.4</v>
      </c>
      <c r="U114" s="5" t="s">
        <v>32</v>
      </c>
      <c r="V114" s="5">
        <v>127.5</v>
      </c>
      <c r="W114" s="5">
        <v>127.1</v>
      </c>
      <c r="X114" s="5">
        <v>124.3</v>
      </c>
      <c r="Y114" s="5">
        <v>113.9</v>
      </c>
      <c r="Z114" s="5">
        <v>122.3</v>
      </c>
      <c r="AA114" s="5">
        <v>127.1</v>
      </c>
      <c r="AB114" s="5">
        <v>116.8</v>
      </c>
      <c r="AC114" s="5">
        <v>120.9</v>
      </c>
      <c r="AD114" s="5">
        <v>127.9</v>
      </c>
    </row>
    <row r="115" spans="1:30" x14ac:dyDescent="0.35">
      <c r="A115" s="5" t="s">
        <v>33</v>
      </c>
      <c r="B115" s="5">
        <v>2016</v>
      </c>
      <c r="C115" s="5" t="s">
        <v>35</v>
      </c>
      <c r="D115" s="11">
        <v>124.8</v>
      </c>
      <c r="E115" s="5">
        <v>135.1</v>
      </c>
      <c r="F115" s="5">
        <v>130.30000000000001</v>
      </c>
      <c r="G115" s="5">
        <v>129.6</v>
      </c>
      <c r="H115" s="5">
        <v>108.4</v>
      </c>
      <c r="I115" s="5">
        <v>118.6</v>
      </c>
      <c r="J115" s="5">
        <v>129.19999999999999</v>
      </c>
      <c r="K115" s="5">
        <v>176.4</v>
      </c>
      <c r="L115" s="5">
        <v>99.1</v>
      </c>
      <c r="M115" s="5">
        <v>139.69999999999999</v>
      </c>
      <c r="N115" s="5">
        <v>120.6</v>
      </c>
      <c r="O115" s="5">
        <v>135.19999999999999</v>
      </c>
      <c r="P115" s="5">
        <v>129.1</v>
      </c>
      <c r="Q115" s="5">
        <v>140</v>
      </c>
      <c r="R115" s="5">
        <v>126.2</v>
      </c>
      <c r="S115" s="5">
        <v>120.1</v>
      </c>
      <c r="T115" s="5">
        <v>125.3</v>
      </c>
      <c r="U115" s="5">
        <v>124.4</v>
      </c>
      <c r="V115" s="5">
        <v>116</v>
      </c>
      <c r="W115" s="5">
        <v>121.8</v>
      </c>
      <c r="X115" s="5">
        <v>119.5</v>
      </c>
      <c r="Y115" s="5">
        <v>109.1</v>
      </c>
      <c r="Z115" s="5">
        <v>118.8</v>
      </c>
      <c r="AA115" s="5">
        <v>126.3</v>
      </c>
      <c r="AB115" s="5">
        <v>116.2</v>
      </c>
      <c r="AC115" s="5">
        <v>117.2</v>
      </c>
      <c r="AD115" s="5">
        <v>123.8</v>
      </c>
    </row>
    <row r="116" spans="1:30" x14ac:dyDescent="0.35">
      <c r="A116" s="5" t="s">
        <v>34</v>
      </c>
      <c r="B116" s="5">
        <v>2016</v>
      </c>
      <c r="C116" s="5" t="s">
        <v>35</v>
      </c>
      <c r="D116" s="11">
        <v>126.4</v>
      </c>
      <c r="E116" s="5">
        <v>134.19999999999999</v>
      </c>
      <c r="F116" s="5">
        <v>128.69999999999999</v>
      </c>
      <c r="G116" s="5">
        <v>130.30000000000001</v>
      </c>
      <c r="H116" s="5">
        <v>114.8</v>
      </c>
      <c r="I116" s="5">
        <v>124.9</v>
      </c>
      <c r="J116" s="5">
        <v>130.30000000000001</v>
      </c>
      <c r="K116" s="5">
        <v>167.4</v>
      </c>
      <c r="L116" s="5">
        <v>98.8</v>
      </c>
      <c r="M116" s="5">
        <v>133.6</v>
      </c>
      <c r="N116" s="5">
        <v>123</v>
      </c>
      <c r="O116" s="5">
        <v>135.80000000000001</v>
      </c>
      <c r="P116" s="5">
        <v>129.9</v>
      </c>
      <c r="Q116" s="5">
        <v>135.9</v>
      </c>
      <c r="R116" s="5">
        <v>130.9</v>
      </c>
      <c r="S116" s="5">
        <v>125.8</v>
      </c>
      <c r="T116" s="5">
        <v>130.19999999999999</v>
      </c>
      <c r="U116" s="5">
        <v>124.4</v>
      </c>
      <c r="V116" s="5">
        <v>123.1</v>
      </c>
      <c r="W116" s="5">
        <v>124.6</v>
      </c>
      <c r="X116" s="5">
        <v>122.5</v>
      </c>
      <c r="Y116" s="5">
        <v>111.4</v>
      </c>
      <c r="Z116" s="5">
        <v>120.3</v>
      </c>
      <c r="AA116" s="5">
        <v>126.6</v>
      </c>
      <c r="AB116" s="5">
        <v>116.6</v>
      </c>
      <c r="AC116" s="5">
        <v>119.1</v>
      </c>
      <c r="AD116" s="5">
        <v>126</v>
      </c>
    </row>
    <row r="117" spans="1:30" x14ac:dyDescent="0.35">
      <c r="A117" s="5" t="s">
        <v>30</v>
      </c>
      <c r="B117" s="5">
        <v>2016</v>
      </c>
      <c r="C117" s="5" t="s">
        <v>36</v>
      </c>
      <c r="D117" s="11">
        <v>127.3</v>
      </c>
      <c r="E117" s="5">
        <v>134.4</v>
      </c>
      <c r="F117" s="5">
        <v>125.1</v>
      </c>
      <c r="G117" s="5">
        <v>130.5</v>
      </c>
      <c r="H117" s="5">
        <v>118.3</v>
      </c>
      <c r="I117" s="5">
        <v>131.69999999999999</v>
      </c>
      <c r="J117" s="5">
        <v>130.69999999999999</v>
      </c>
      <c r="K117" s="5">
        <v>161.19999999999999</v>
      </c>
      <c r="L117" s="5">
        <v>100.4</v>
      </c>
      <c r="M117" s="5">
        <v>130.80000000000001</v>
      </c>
      <c r="N117" s="5">
        <v>124.9</v>
      </c>
      <c r="O117" s="5">
        <v>137</v>
      </c>
      <c r="P117" s="5">
        <v>130.4</v>
      </c>
      <c r="Q117" s="5">
        <v>135</v>
      </c>
      <c r="R117" s="5">
        <v>134.4</v>
      </c>
      <c r="S117" s="5">
        <v>130.19999999999999</v>
      </c>
      <c r="T117" s="5">
        <v>133.80000000000001</v>
      </c>
      <c r="U117" s="5" t="s">
        <v>32</v>
      </c>
      <c r="V117" s="5">
        <v>127</v>
      </c>
      <c r="W117" s="5">
        <v>127.7</v>
      </c>
      <c r="X117" s="5">
        <v>124.8</v>
      </c>
      <c r="Y117" s="5">
        <v>113.6</v>
      </c>
      <c r="Z117" s="5">
        <v>122.5</v>
      </c>
      <c r="AA117" s="5">
        <v>127.5</v>
      </c>
      <c r="AB117" s="5">
        <v>117.4</v>
      </c>
      <c r="AC117" s="5">
        <v>121.1</v>
      </c>
      <c r="AD117" s="5">
        <v>128</v>
      </c>
    </row>
    <row r="118" spans="1:30" x14ac:dyDescent="0.35">
      <c r="A118" s="5" t="s">
        <v>33</v>
      </c>
      <c r="B118" s="5">
        <v>2016</v>
      </c>
      <c r="C118" s="5" t="s">
        <v>36</v>
      </c>
      <c r="D118" s="11">
        <v>124.8</v>
      </c>
      <c r="E118" s="5">
        <v>136.30000000000001</v>
      </c>
      <c r="F118" s="5">
        <v>123.7</v>
      </c>
      <c r="G118" s="5">
        <v>129.69999999999999</v>
      </c>
      <c r="H118" s="5">
        <v>107.9</v>
      </c>
      <c r="I118" s="5">
        <v>119.9</v>
      </c>
      <c r="J118" s="5">
        <v>128.1</v>
      </c>
      <c r="K118" s="5">
        <v>170.3</v>
      </c>
      <c r="L118" s="5">
        <v>101.8</v>
      </c>
      <c r="M118" s="5">
        <v>140.1</v>
      </c>
      <c r="N118" s="5">
        <v>120.7</v>
      </c>
      <c r="O118" s="5">
        <v>135.4</v>
      </c>
      <c r="P118" s="5">
        <v>128.9</v>
      </c>
      <c r="Q118" s="5">
        <v>140.6</v>
      </c>
      <c r="R118" s="5">
        <v>126.4</v>
      </c>
      <c r="S118" s="5">
        <v>120.3</v>
      </c>
      <c r="T118" s="5">
        <v>125.5</v>
      </c>
      <c r="U118" s="5">
        <v>124.9</v>
      </c>
      <c r="V118" s="5">
        <v>114.8</v>
      </c>
      <c r="W118" s="5">
        <v>122.3</v>
      </c>
      <c r="X118" s="5">
        <v>119.7</v>
      </c>
      <c r="Y118" s="5">
        <v>108.5</v>
      </c>
      <c r="Z118" s="5">
        <v>119.1</v>
      </c>
      <c r="AA118" s="5">
        <v>126.4</v>
      </c>
      <c r="AB118" s="5">
        <v>117.1</v>
      </c>
      <c r="AC118" s="5">
        <v>117.3</v>
      </c>
      <c r="AD118" s="5">
        <v>123.8</v>
      </c>
    </row>
    <row r="119" spans="1:30" x14ac:dyDescent="0.35">
      <c r="A119" s="5" t="s">
        <v>34</v>
      </c>
      <c r="B119" s="5">
        <v>2016</v>
      </c>
      <c r="C119" s="5" t="s">
        <v>36</v>
      </c>
      <c r="D119" s="11">
        <v>126.5</v>
      </c>
      <c r="E119" s="5">
        <v>135.1</v>
      </c>
      <c r="F119" s="5">
        <v>124.6</v>
      </c>
      <c r="G119" s="5">
        <v>130.19999999999999</v>
      </c>
      <c r="H119" s="5">
        <v>114.5</v>
      </c>
      <c r="I119" s="5">
        <v>126.2</v>
      </c>
      <c r="J119" s="5">
        <v>129.80000000000001</v>
      </c>
      <c r="K119" s="5">
        <v>164.3</v>
      </c>
      <c r="L119" s="5">
        <v>100.9</v>
      </c>
      <c r="M119" s="5">
        <v>133.9</v>
      </c>
      <c r="N119" s="5">
        <v>123.1</v>
      </c>
      <c r="O119" s="5">
        <v>136.30000000000001</v>
      </c>
      <c r="P119" s="5">
        <v>129.80000000000001</v>
      </c>
      <c r="Q119" s="5">
        <v>136.5</v>
      </c>
      <c r="R119" s="5">
        <v>131.30000000000001</v>
      </c>
      <c r="S119" s="5">
        <v>126.1</v>
      </c>
      <c r="T119" s="5">
        <v>130.5</v>
      </c>
      <c r="U119" s="5">
        <v>124.9</v>
      </c>
      <c r="V119" s="5">
        <v>122.4</v>
      </c>
      <c r="W119" s="5">
        <v>125.1</v>
      </c>
      <c r="X119" s="5">
        <v>122.9</v>
      </c>
      <c r="Y119" s="5">
        <v>110.9</v>
      </c>
      <c r="Z119" s="5">
        <v>120.6</v>
      </c>
      <c r="AA119" s="5">
        <v>126.9</v>
      </c>
      <c r="AB119" s="5">
        <v>117.3</v>
      </c>
      <c r="AC119" s="5">
        <v>119.3</v>
      </c>
      <c r="AD119" s="5">
        <v>126</v>
      </c>
    </row>
    <row r="120" spans="1:30" x14ac:dyDescent="0.35">
      <c r="A120" s="5" t="s">
        <v>30</v>
      </c>
      <c r="B120" s="5">
        <v>2016</v>
      </c>
      <c r="C120" s="5" t="s">
        <v>37</v>
      </c>
      <c r="D120" s="11">
        <v>127.4</v>
      </c>
      <c r="E120" s="5">
        <v>135.4</v>
      </c>
      <c r="F120" s="5">
        <v>123.4</v>
      </c>
      <c r="G120" s="5">
        <v>131.30000000000001</v>
      </c>
      <c r="H120" s="5">
        <v>118.2</v>
      </c>
      <c r="I120" s="5">
        <v>138.1</v>
      </c>
      <c r="J120" s="5">
        <v>134.1</v>
      </c>
      <c r="K120" s="5">
        <v>162.69999999999999</v>
      </c>
      <c r="L120" s="5">
        <v>105</v>
      </c>
      <c r="M120" s="5">
        <v>131.4</v>
      </c>
      <c r="N120" s="5">
        <v>125.4</v>
      </c>
      <c r="O120" s="5">
        <v>137.4</v>
      </c>
      <c r="P120" s="5">
        <v>131.80000000000001</v>
      </c>
      <c r="Q120" s="5">
        <v>135.5</v>
      </c>
      <c r="R120" s="5">
        <v>135</v>
      </c>
      <c r="S120" s="5">
        <v>130.6</v>
      </c>
      <c r="T120" s="5">
        <v>134.4</v>
      </c>
      <c r="U120" s="5" t="s">
        <v>32</v>
      </c>
      <c r="V120" s="5">
        <v>127</v>
      </c>
      <c r="W120" s="5">
        <v>128</v>
      </c>
      <c r="X120" s="5">
        <v>125.2</v>
      </c>
      <c r="Y120" s="5">
        <v>114.4</v>
      </c>
      <c r="Z120" s="5">
        <v>123.2</v>
      </c>
      <c r="AA120" s="5">
        <v>127.9</v>
      </c>
      <c r="AB120" s="5">
        <v>118.4</v>
      </c>
      <c r="AC120" s="5">
        <v>121.7</v>
      </c>
      <c r="AD120" s="5">
        <v>129</v>
      </c>
    </row>
    <row r="121" spans="1:30" x14ac:dyDescent="0.35">
      <c r="A121" s="5" t="s">
        <v>33</v>
      </c>
      <c r="B121" s="5">
        <v>2016</v>
      </c>
      <c r="C121" s="5" t="s">
        <v>37</v>
      </c>
      <c r="D121" s="11">
        <v>124.9</v>
      </c>
      <c r="E121" s="5">
        <v>139.30000000000001</v>
      </c>
      <c r="F121" s="5">
        <v>119.9</v>
      </c>
      <c r="G121" s="5">
        <v>130.19999999999999</v>
      </c>
      <c r="H121" s="5">
        <v>108.9</v>
      </c>
      <c r="I121" s="5">
        <v>131.1</v>
      </c>
      <c r="J121" s="5">
        <v>136.80000000000001</v>
      </c>
      <c r="K121" s="5">
        <v>176.9</v>
      </c>
      <c r="L121" s="5">
        <v>109.1</v>
      </c>
      <c r="M121" s="5">
        <v>140.4</v>
      </c>
      <c r="N121" s="5">
        <v>121.1</v>
      </c>
      <c r="O121" s="5">
        <v>135.9</v>
      </c>
      <c r="P121" s="5">
        <v>131.80000000000001</v>
      </c>
      <c r="Q121" s="5">
        <v>141.5</v>
      </c>
      <c r="R121" s="5">
        <v>126.8</v>
      </c>
      <c r="S121" s="5">
        <v>120.5</v>
      </c>
      <c r="T121" s="5">
        <v>125.8</v>
      </c>
      <c r="U121" s="5">
        <v>125.6</v>
      </c>
      <c r="V121" s="5">
        <v>114.6</v>
      </c>
      <c r="W121" s="5">
        <v>122.8</v>
      </c>
      <c r="X121" s="5">
        <v>120</v>
      </c>
      <c r="Y121" s="5">
        <v>110</v>
      </c>
      <c r="Z121" s="5">
        <v>119.5</v>
      </c>
      <c r="AA121" s="5">
        <v>127.6</v>
      </c>
      <c r="AB121" s="5">
        <v>117.6</v>
      </c>
      <c r="AC121" s="5">
        <v>118.2</v>
      </c>
      <c r="AD121" s="5">
        <v>125.3</v>
      </c>
    </row>
    <row r="122" spans="1:30" x14ac:dyDescent="0.35">
      <c r="A122" s="5" t="s">
        <v>34</v>
      </c>
      <c r="B122" s="5">
        <v>2016</v>
      </c>
      <c r="C122" s="5" t="s">
        <v>37</v>
      </c>
      <c r="D122" s="11">
        <v>126.6</v>
      </c>
      <c r="E122" s="5">
        <v>136.80000000000001</v>
      </c>
      <c r="F122" s="5">
        <v>122</v>
      </c>
      <c r="G122" s="5">
        <v>130.9</v>
      </c>
      <c r="H122" s="5">
        <v>114.8</v>
      </c>
      <c r="I122" s="5">
        <v>134.80000000000001</v>
      </c>
      <c r="J122" s="5">
        <v>135</v>
      </c>
      <c r="K122" s="5">
        <v>167.5</v>
      </c>
      <c r="L122" s="5">
        <v>106.4</v>
      </c>
      <c r="M122" s="5">
        <v>134.4</v>
      </c>
      <c r="N122" s="5">
        <v>123.6</v>
      </c>
      <c r="O122" s="5">
        <v>136.69999999999999</v>
      </c>
      <c r="P122" s="5">
        <v>131.80000000000001</v>
      </c>
      <c r="Q122" s="5">
        <v>137.1</v>
      </c>
      <c r="R122" s="5">
        <v>131.80000000000001</v>
      </c>
      <c r="S122" s="5">
        <v>126.4</v>
      </c>
      <c r="T122" s="5">
        <v>131</v>
      </c>
      <c r="U122" s="5">
        <v>125.6</v>
      </c>
      <c r="V122" s="5">
        <v>122.3</v>
      </c>
      <c r="W122" s="5">
        <v>125.5</v>
      </c>
      <c r="X122" s="5">
        <v>123.2</v>
      </c>
      <c r="Y122" s="5">
        <v>112.1</v>
      </c>
      <c r="Z122" s="5">
        <v>121.1</v>
      </c>
      <c r="AA122" s="5">
        <v>127.7</v>
      </c>
      <c r="AB122" s="5">
        <v>118.1</v>
      </c>
      <c r="AC122" s="5">
        <v>120</v>
      </c>
      <c r="AD122" s="5">
        <v>127.3</v>
      </c>
    </row>
    <row r="123" spans="1:30" x14ac:dyDescent="0.35">
      <c r="A123" s="5" t="s">
        <v>30</v>
      </c>
      <c r="B123" s="5">
        <v>2016</v>
      </c>
      <c r="C123" s="5" t="s">
        <v>38</v>
      </c>
      <c r="D123" s="11">
        <v>127.6</v>
      </c>
      <c r="E123" s="5">
        <v>137.5</v>
      </c>
      <c r="F123" s="5">
        <v>124.4</v>
      </c>
      <c r="G123" s="5">
        <v>132.4</v>
      </c>
      <c r="H123" s="5">
        <v>118.2</v>
      </c>
      <c r="I123" s="5">
        <v>138.1</v>
      </c>
      <c r="J123" s="5">
        <v>141.80000000000001</v>
      </c>
      <c r="K123" s="5">
        <v>166</v>
      </c>
      <c r="L123" s="5">
        <v>107.5</v>
      </c>
      <c r="M123" s="5">
        <v>132.19999999999999</v>
      </c>
      <c r="N123" s="5">
        <v>126.1</v>
      </c>
      <c r="O123" s="5">
        <v>138.30000000000001</v>
      </c>
      <c r="P123" s="5">
        <v>133.6</v>
      </c>
      <c r="Q123" s="5">
        <v>136</v>
      </c>
      <c r="R123" s="5">
        <v>135.4</v>
      </c>
      <c r="S123" s="5">
        <v>131.1</v>
      </c>
      <c r="T123" s="5">
        <v>134.80000000000001</v>
      </c>
      <c r="U123" s="5" t="s">
        <v>32</v>
      </c>
      <c r="V123" s="5">
        <v>127.4</v>
      </c>
      <c r="W123" s="5">
        <v>128.5</v>
      </c>
      <c r="X123" s="5">
        <v>125.8</v>
      </c>
      <c r="Y123" s="5">
        <v>115.1</v>
      </c>
      <c r="Z123" s="5">
        <v>123.6</v>
      </c>
      <c r="AA123" s="5">
        <v>129.1</v>
      </c>
      <c r="AB123" s="5">
        <v>119.7</v>
      </c>
      <c r="AC123" s="5">
        <v>122.5</v>
      </c>
      <c r="AD123" s="5">
        <v>130.30000000000001</v>
      </c>
    </row>
    <row r="124" spans="1:30" x14ac:dyDescent="0.35">
      <c r="A124" s="5" t="s">
        <v>33</v>
      </c>
      <c r="B124" s="5">
        <v>2016</v>
      </c>
      <c r="C124" s="5" t="s">
        <v>38</v>
      </c>
      <c r="D124" s="11">
        <v>125</v>
      </c>
      <c r="E124" s="5">
        <v>142.1</v>
      </c>
      <c r="F124" s="5">
        <v>127</v>
      </c>
      <c r="G124" s="5">
        <v>130.4</v>
      </c>
      <c r="H124" s="5">
        <v>109.6</v>
      </c>
      <c r="I124" s="5">
        <v>133.5</v>
      </c>
      <c r="J124" s="5">
        <v>151.4</v>
      </c>
      <c r="K124" s="5">
        <v>182.8</v>
      </c>
      <c r="L124" s="5">
        <v>111.1</v>
      </c>
      <c r="M124" s="5">
        <v>141.5</v>
      </c>
      <c r="N124" s="5">
        <v>121.5</v>
      </c>
      <c r="O124" s="5">
        <v>136.30000000000001</v>
      </c>
      <c r="P124" s="5">
        <v>134.6</v>
      </c>
      <c r="Q124" s="5">
        <v>142.19999999999999</v>
      </c>
      <c r="R124" s="5">
        <v>127.2</v>
      </c>
      <c r="S124" s="5">
        <v>120.7</v>
      </c>
      <c r="T124" s="5">
        <v>126.2</v>
      </c>
      <c r="U124" s="5">
        <v>126</v>
      </c>
      <c r="V124" s="5">
        <v>115</v>
      </c>
      <c r="W124" s="5">
        <v>123.2</v>
      </c>
      <c r="X124" s="5">
        <v>120.3</v>
      </c>
      <c r="Y124" s="5">
        <v>110.7</v>
      </c>
      <c r="Z124" s="5">
        <v>119.8</v>
      </c>
      <c r="AA124" s="5">
        <v>128</v>
      </c>
      <c r="AB124" s="5">
        <v>118.5</v>
      </c>
      <c r="AC124" s="5">
        <v>118.7</v>
      </c>
      <c r="AD124" s="5">
        <v>126.6</v>
      </c>
    </row>
    <row r="125" spans="1:30" x14ac:dyDescent="0.35">
      <c r="A125" s="5" t="s">
        <v>34</v>
      </c>
      <c r="B125" s="5">
        <v>2016</v>
      </c>
      <c r="C125" s="5" t="s">
        <v>38</v>
      </c>
      <c r="D125" s="11">
        <v>126.8</v>
      </c>
      <c r="E125" s="5">
        <v>139.1</v>
      </c>
      <c r="F125" s="5">
        <v>125.4</v>
      </c>
      <c r="G125" s="5">
        <v>131.69999999999999</v>
      </c>
      <c r="H125" s="5">
        <v>115</v>
      </c>
      <c r="I125" s="5">
        <v>136</v>
      </c>
      <c r="J125" s="5">
        <v>145.1</v>
      </c>
      <c r="K125" s="5">
        <v>171.7</v>
      </c>
      <c r="L125" s="5">
        <v>108.7</v>
      </c>
      <c r="M125" s="5">
        <v>135.30000000000001</v>
      </c>
      <c r="N125" s="5">
        <v>124.2</v>
      </c>
      <c r="O125" s="5">
        <v>137.4</v>
      </c>
      <c r="P125" s="5">
        <v>134</v>
      </c>
      <c r="Q125" s="5">
        <v>137.69999999999999</v>
      </c>
      <c r="R125" s="5">
        <v>132.19999999999999</v>
      </c>
      <c r="S125" s="5">
        <v>126.8</v>
      </c>
      <c r="T125" s="5">
        <v>131.4</v>
      </c>
      <c r="U125" s="5">
        <v>126</v>
      </c>
      <c r="V125" s="5">
        <v>122.7</v>
      </c>
      <c r="W125" s="5">
        <v>126</v>
      </c>
      <c r="X125" s="5">
        <v>123.7</v>
      </c>
      <c r="Y125" s="5">
        <v>112.8</v>
      </c>
      <c r="Z125" s="5">
        <v>121.5</v>
      </c>
      <c r="AA125" s="5">
        <v>128.5</v>
      </c>
      <c r="AB125" s="5">
        <v>119.2</v>
      </c>
      <c r="AC125" s="5">
        <v>120.7</v>
      </c>
      <c r="AD125" s="5">
        <v>128.6</v>
      </c>
    </row>
    <row r="126" spans="1:30" x14ac:dyDescent="0.35">
      <c r="A126" s="5" t="s">
        <v>30</v>
      </c>
      <c r="B126" s="5">
        <v>2016</v>
      </c>
      <c r="C126" s="5" t="s">
        <v>39</v>
      </c>
      <c r="D126" s="11">
        <v>128.6</v>
      </c>
      <c r="E126" s="5">
        <v>138.6</v>
      </c>
      <c r="F126" s="5">
        <v>126.6</v>
      </c>
      <c r="G126" s="5">
        <v>133.6</v>
      </c>
      <c r="H126" s="5">
        <v>118.6</v>
      </c>
      <c r="I126" s="5">
        <v>137.4</v>
      </c>
      <c r="J126" s="5">
        <v>152.5</v>
      </c>
      <c r="K126" s="5">
        <v>169.2</v>
      </c>
      <c r="L126" s="5">
        <v>108.8</v>
      </c>
      <c r="M126" s="5">
        <v>133.1</v>
      </c>
      <c r="N126" s="5">
        <v>126.4</v>
      </c>
      <c r="O126" s="5">
        <v>139.19999999999999</v>
      </c>
      <c r="P126" s="5">
        <v>136</v>
      </c>
      <c r="Q126" s="5">
        <v>137.19999999999999</v>
      </c>
      <c r="R126" s="5">
        <v>136.30000000000001</v>
      </c>
      <c r="S126" s="5">
        <v>131.6</v>
      </c>
      <c r="T126" s="5">
        <v>135.6</v>
      </c>
      <c r="U126" s="5" t="s">
        <v>32</v>
      </c>
      <c r="V126" s="5">
        <v>128</v>
      </c>
      <c r="W126" s="5">
        <v>129.30000000000001</v>
      </c>
      <c r="X126" s="5">
        <v>126.2</v>
      </c>
      <c r="Y126" s="5">
        <v>116.3</v>
      </c>
      <c r="Z126" s="5">
        <v>124.1</v>
      </c>
      <c r="AA126" s="5">
        <v>130.19999999999999</v>
      </c>
      <c r="AB126" s="5">
        <v>119.9</v>
      </c>
      <c r="AC126" s="5">
        <v>123.3</v>
      </c>
      <c r="AD126" s="5">
        <v>131.9</v>
      </c>
    </row>
    <row r="127" spans="1:30" x14ac:dyDescent="0.35">
      <c r="A127" s="5" t="s">
        <v>33</v>
      </c>
      <c r="B127" s="5">
        <v>2016</v>
      </c>
      <c r="C127" s="5" t="s">
        <v>39</v>
      </c>
      <c r="D127" s="11">
        <v>125.9</v>
      </c>
      <c r="E127" s="5">
        <v>143.9</v>
      </c>
      <c r="F127" s="5">
        <v>130.9</v>
      </c>
      <c r="G127" s="5">
        <v>131</v>
      </c>
      <c r="H127" s="5">
        <v>110.2</v>
      </c>
      <c r="I127" s="5">
        <v>135.5</v>
      </c>
      <c r="J127" s="5">
        <v>173.7</v>
      </c>
      <c r="K127" s="5">
        <v>184.4</v>
      </c>
      <c r="L127" s="5">
        <v>112</v>
      </c>
      <c r="M127" s="5">
        <v>142.80000000000001</v>
      </c>
      <c r="N127" s="5">
        <v>121.6</v>
      </c>
      <c r="O127" s="5">
        <v>136.9</v>
      </c>
      <c r="P127" s="5">
        <v>138.19999999999999</v>
      </c>
      <c r="Q127" s="5">
        <v>142.69999999999999</v>
      </c>
      <c r="R127" s="5">
        <v>127.6</v>
      </c>
      <c r="S127" s="5">
        <v>121.1</v>
      </c>
      <c r="T127" s="5">
        <v>126.6</v>
      </c>
      <c r="U127" s="5">
        <v>125.5</v>
      </c>
      <c r="V127" s="5">
        <v>115.5</v>
      </c>
      <c r="W127" s="5">
        <v>123.2</v>
      </c>
      <c r="X127" s="5">
        <v>120.6</v>
      </c>
      <c r="Y127" s="5">
        <v>112.3</v>
      </c>
      <c r="Z127" s="5">
        <v>119.9</v>
      </c>
      <c r="AA127" s="5">
        <v>129.30000000000001</v>
      </c>
      <c r="AB127" s="5">
        <v>118.8</v>
      </c>
      <c r="AC127" s="5">
        <v>119.6</v>
      </c>
      <c r="AD127" s="5">
        <v>128.1</v>
      </c>
    </row>
    <row r="128" spans="1:30" x14ac:dyDescent="0.35">
      <c r="A128" s="5" t="s">
        <v>34</v>
      </c>
      <c r="B128" s="5">
        <v>2016</v>
      </c>
      <c r="C128" s="5" t="s">
        <v>39</v>
      </c>
      <c r="D128" s="11">
        <v>127.7</v>
      </c>
      <c r="E128" s="5">
        <v>140.5</v>
      </c>
      <c r="F128" s="5">
        <v>128.30000000000001</v>
      </c>
      <c r="G128" s="5">
        <v>132.6</v>
      </c>
      <c r="H128" s="5">
        <v>115.5</v>
      </c>
      <c r="I128" s="5">
        <v>136.5</v>
      </c>
      <c r="J128" s="5">
        <v>159.69999999999999</v>
      </c>
      <c r="K128" s="5">
        <v>174.3</v>
      </c>
      <c r="L128" s="5">
        <v>109.9</v>
      </c>
      <c r="M128" s="5">
        <v>136.30000000000001</v>
      </c>
      <c r="N128" s="5">
        <v>124.4</v>
      </c>
      <c r="O128" s="5">
        <v>138.1</v>
      </c>
      <c r="P128" s="5">
        <v>136.80000000000001</v>
      </c>
      <c r="Q128" s="5">
        <v>138.69999999999999</v>
      </c>
      <c r="R128" s="5">
        <v>132.9</v>
      </c>
      <c r="S128" s="5">
        <v>127.2</v>
      </c>
      <c r="T128" s="5">
        <v>132</v>
      </c>
      <c r="U128" s="5">
        <v>125.5</v>
      </c>
      <c r="V128" s="5">
        <v>123.3</v>
      </c>
      <c r="W128" s="5">
        <v>126.4</v>
      </c>
      <c r="X128" s="5">
        <v>124.1</v>
      </c>
      <c r="Y128" s="5">
        <v>114.2</v>
      </c>
      <c r="Z128" s="5">
        <v>121.7</v>
      </c>
      <c r="AA128" s="5">
        <v>129.69999999999999</v>
      </c>
      <c r="AB128" s="5">
        <v>119.4</v>
      </c>
      <c r="AC128" s="5">
        <v>121.5</v>
      </c>
      <c r="AD128" s="5">
        <v>130.1</v>
      </c>
    </row>
    <row r="129" spans="1:30" x14ac:dyDescent="0.35">
      <c r="A129" s="5" t="s">
        <v>30</v>
      </c>
      <c r="B129" s="5">
        <v>2016</v>
      </c>
      <c r="C129" s="5" t="s">
        <v>40</v>
      </c>
      <c r="D129" s="11">
        <v>129.30000000000001</v>
      </c>
      <c r="E129" s="5">
        <v>139.5</v>
      </c>
      <c r="F129" s="5">
        <v>129.6</v>
      </c>
      <c r="G129" s="5">
        <v>134.5</v>
      </c>
      <c r="H129" s="5">
        <v>119.5</v>
      </c>
      <c r="I129" s="5">
        <v>138.5</v>
      </c>
      <c r="J129" s="5">
        <v>158.19999999999999</v>
      </c>
      <c r="K129" s="5">
        <v>171.8</v>
      </c>
      <c r="L129" s="5">
        <v>110.3</v>
      </c>
      <c r="M129" s="5">
        <v>134.30000000000001</v>
      </c>
      <c r="N129" s="5">
        <v>127.3</v>
      </c>
      <c r="O129" s="5">
        <v>139.9</v>
      </c>
      <c r="P129" s="5">
        <v>137.6</v>
      </c>
      <c r="Q129" s="5">
        <v>138</v>
      </c>
      <c r="R129" s="5">
        <v>137.19999999999999</v>
      </c>
      <c r="S129" s="5">
        <v>132.19999999999999</v>
      </c>
      <c r="T129" s="5">
        <v>136.5</v>
      </c>
      <c r="U129" s="5" t="s">
        <v>32</v>
      </c>
      <c r="V129" s="5">
        <v>128.19999999999999</v>
      </c>
      <c r="W129" s="5">
        <v>130</v>
      </c>
      <c r="X129" s="5">
        <v>126.7</v>
      </c>
      <c r="Y129" s="5">
        <v>116.4</v>
      </c>
      <c r="Z129" s="5">
        <v>125.2</v>
      </c>
      <c r="AA129" s="5">
        <v>130.80000000000001</v>
      </c>
      <c r="AB129" s="5">
        <v>120.9</v>
      </c>
      <c r="AC129" s="5">
        <v>123.8</v>
      </c>
      <c r="AD129" s="5">
        <v>133</v>
      </c>
    </row>
    <row r="130" spans="1:30" x14ac:dyDescent="0.35">
      <c r="A130" s="5" t="s">
        <v>33</v>
      </c>
      <c r="B130" s="5">
        <v>2016</v>
      </c>
      <c r="C130" s="5" t="s">
        <v>40</v>
      </c>
      <c r="D130" s="11">
        <v>126.8</v>
      </c>
      <c r="E130" s="5">
        <v>144.19999999999999</v>
      </c>
      <c r="F130" s="5">
        <v>136.6</v>
      </c>
      <c r="G130" s="5">
        <v>131.80000000000001</v>
      </c>
      <c r="H130" s="5">
        <v>111</v>
      </c>
      <c r="I130" s="5">
        <v>137</v>
      </c>
      <c r="J130" s="5">
        <v>179.5</v>
      </c>
      <c r="K130" s="5">
        <v>188.4</v>
      </c>
      <c r="L130" s="5">
        <v>113.3</v>
      </c>
      <c r="M130" s="5">
        <v>143.9</v>
      </c>
      <c r="N130" s="5">
        <v>121.7</v>
      </c>
      <c r="O130" s="5">
        <v>137.5</v>
      </c>
      <c r="P130" s="5">
        <v>139.80000000000001</v>
      </c>
      <c r="Q130" s="5">
        <v>142.9</v>
      </c>
      <c r="R130" s="5">
        <v>127.9</v>
      </c>
      <c r="S130" s="5">
        <v>121.1</v>
      </c>
      <c r="T130" s="5">
        <v>126.9</v>
      </c>
      <c r="U130" s="5">
        <v>126.4</v>
      </c>
      <c r="V130" s="5">
        <v>115.5</v>
      </c>
      <c r="W130" s="5">
        <v>123.5</v>
      </c>
      <c r="X130" s="5">
        <v>120.9</v>
      </c>
      <c r="Y130" s="5">
        <v>111.7</v>
      </c>
      <c r="Z130" s="5">
        <v>120.3</v>
      </c>
      <c r="AA130" s="5">
        <v>130.80000000000001</v>
      </c>
      <c r="AB130" s="5">
        <v>120</v>
      </c>
      <c r="AC130" s="5">
        <v>119.9</v>
      </c>
      <c r="AD130" s="5">
        <v>129</v>
      </c>
    </row>
    <row r="131" spans="1:30" x14ac:dyDescent="0.35">
      <c r="A131" s="5" t="s">
        <v>34</v>
      </c>
      <c r="B131" s="5">
        <v>2016</v>
      </c>
      <c r="C131" s="5" t="s">
        <v>40</v>
      </c>
      <c r="D131" s="11">
        <v>128.5</v>
      </c>
      <c r="E131" s="5">
        <v>141.19999999999999</v>
      </c>
      <c r="F131" s="5">
        <v>132.30000000000001</v>
      </c>
      <c r="G131" s="5">
        <v>133.5</v>
      </c>
      <c r="H131" s="5">
        <v>116.4</v>
      </c>
      <c r="I131" s="5">
        <v>137.80000000000001</v>
      </c>
      <c r="J131" s="5">
        <v>165.4</v>
      </c>
      <c r="K131" s="5">
        <v>177.4</v>
      </c>
      <c r="L131" s="5">
        <v>111.3</v>
      </c>
      <c r="M131" s="5">
        <v>137.5</v>
      </c>
      <c r="N131" s="5">
        <v>125</v>
      </c>
      <c r="O131" s="5">
        <v>138.80000000000001</v>
      </c>
      <c r="P131" s="5">
        <v>138.4</v>
      </c>
      <c r="Q131" s="5">
        <v>139.30000000000001</v>
      </c>
      <c r="R131" s="5">
        <v>133.5</v>
      </c>
      <c r="S131" s="5">
        <v>127.6</v>
      </c>
      <c r="T131" s="5">
        <v>132.69999999999999</v>
      </c>
      <c r="U131" s="5">
        <v>126.4</v>
      </c>
      <c r="V131" s="5">
        <v>123.4</v>
      </c>
      <c r="W131" s="5">
        <v>126.9</v>
      </c>
      <c r="X131" s="5">
        <v>124.5</v>
      </c>
      <c r="Y131" s="5">
        <v>113.9</v>
      </c>
      <c r="Z131" s="5">
        <v>122.4</v>
      </c>
      <c r="AA131" s="5">
        <v>130.80000000000001</v>
      </c>
      <c r="AB131" s="5">
        <v>120.5</v>
      </c>
      <c r="AC131" s="5">
        <v>121.9</v>
      </c>
      <c r="AD131" s="5">
        <v>131.1</v>
      </c>
    </row>
    <row r="132" spans="1:30" x14ac:dyDescent="0.35">
      <c r="A132" s="5" t="s">
        <v>30</v>
      </c>
      <c r="B132" s="5">
        <v>2016</v>
      </c>
      <c r="C132" s="5" t="s">
        <v>41</v>
      </c>
      <c r="D132" s="11">
        <v>130.1</v>
      </c>
      <c r="E132" s="5">
        <v>138.80000000000001</v>
      </c>
      <c r="F132" s="5">
        <v>130.30000000000001</v>
      </c>
      <c r="G132" s="5">
        <v>135.30000000000001</v>
      </c>
      <c r="H132" s="5">
        <v>119.9</v>
      </c>
      <c r="I132" s="5">
        <v>140.19999999999999</v>
      </c>
      <c r="J132" s="5">
        <v>156.9</v>
      </c>
      <c r="K132" s="5">
        <v>172.2</v>
      </c>
      <c r="L132" s="5">
        <v>112.1</v>
      </c>
      <c r="M132" s="5">
        <v>134.9</v>
      </c>
      <c r="N132" s="5">
        <v>128.1</v>
      </c>
      <c r="O132" s="5">
        <v>140.69999999999999</v>
      </c>
      <c r="P132" s="5">
        <v>138</v>
      </c>
      <c r="Q132" s="5">
        <v>138.9</v>
      </c>
      <c r="R132" s="5">
        <v>137.80000000000001</v>
      </c>
      <c r="S132" s="5">
        <v>133</v>
      </c>
      <c r="T132" s="5">
        <v>137.1</v>
      </c>
      <c r="U132" s="5" t="s">
        <v>32</v>
      </c>
      <c r="V132" s="5">
        <v>129.1</v>
      </c>
      <c r="W132" s="5">
        <v>130.6</v>
      </c>
      <c r="X132" s="5">
        <v>127</v>
      </c>
      <c r="Y132" s="5">
        <v>116</v>
      </c>
      <c r="Z132" s="5">
        <v>125.5</v>
      </c>
      <c r="AA132" s="5">
        <v>131.9</v>
      </c>
      <c r="AB132" s="5">
        <v>122</v>
      </c>
      <c r="AC132" s="5">
        <v>124.2</v>
      </c>
      <c r="AD132" s="5">
        <v>133.5</v>
      </c>
    </row>
    <row r="133" spans="1:30" x14ac:dyDescent="0.35">
      <c r="A133" s="5" t="s">
        <v>33</v>
      </c>
      <c r="B133" s="5">
        <v>2016</v>
      </c>
      <c r="C133" s="5" t="s">
        <v>41</v>
      </c>
      <c r="D133" s="11">
        <v>127.6</v>
      </c>
      <c r="E133" s="5">
        <v>140.30000000000001</v>
      </c>
      <c r="F133" s="5">
        <v>133.69999999999999</v>
      </c>
      <c r="G133" s="5">
        <v>132.19999999999999</v>
      </c>
      <c r="H133" s="5">
        <v>111.8</v>
      </c>
      <c r="I133" s="5">
        <v>135.80000000000001</v>
      </c>
      <c r="J133" s="5">
        <v>163.5</v>
      </c>
      <c r="K133" s="5">
        <v>182.3</v>
      </c>
      <c r="L133" s="5">
        <v>114.6</v>
      </c>
      <c r="M133" s="5">
        <v>144.6</v>
      </c>
      <c r="N133" s="5">
        <v>121.9</v>
      </c>
      <c r="O133" s="5">
        <v>138.1</v>
      </c>
      <c r="P133" s="5">
        <v>137.6</v>
      </c>
      <c r="Q133" s="5">
        <v>143.6</v>
      </c>
      <c r="R133" s="5">
        <v>128.30000000000001</v>
      </c>
      <c r="S133" s="5">
        <v>121.4</v>
      </c>
      <c r="T133" s="5">
        <v>127.3</v>
      </c>
      <c r="U133" s="5">
        <v>127.3</v>
      </c>
      <c r="V133" s="5">
        <v>114.7</v>
      </c>
      <c r="W133" s="5">
        <v>123.9</v>
      </c>
      <c r="X133" s="5">
        <v>121.2</v>
      </c>
      <c r="Y133" s="5">
        <v>110.4</v>
      </c>
      <c r="Z133" s="5">
        <v>120.6</v>
      </c>
      <c r="AA133" s="5">
        <v>131.5</v>
      </c>
      <c r="AB133" s="5">
        <v>120.9</v>
      </c>
      <c r="AC133" s="5">
        <v>119.9</v>
      </c>
      <c r="AD133" s="5">
        <v>128.4</v>
      </c>
    </row>
    <row r="134" spans="1:30" x14ac:dyDescent="0.35">
      <c r="A134" s="5" t="s">
        <v>34</v>
      </c>
      <c r="B134" s="5">
        <v>2016</v>
      </c>
      <c r="C134" s="5" t="s">
        <v>41</v>
      </c>
      <c r="D134" s="11">
        <v>129.30000000000001</v>
      </c>
      <c r="E134" s="5">
        <v>139.30000000000001</v>
      </c>
      <c r="F134" s="5">
        <v>131.6</v>
      </c>
      <c r="G134" s="5">
        <v>134.1</v>
      </c>
      <c r="H134" s="5">
        <v>116.9</v>
      </c>
      <c r="I134" s="5">
        <v>138.1</v>
      </c>
      <c r="J134" s="5">
        <v>159.1</v>
      </c>
      <c r="K134" s="5">
        <v>175.6</v>
      </c>
      <c r="L134" s="5">
        <v>112.9</v>
      </c>
      <c r="M134" s="5">
        <v>138.1</v>
      </c>
      <c r="N134" s="5">
        <v>125.5</v>
      </c>
      <c r="O134" s="5">
        <v>139.5</v>
      </c>
      <c r="P134" s="5">
        <v>137.9</v>
      </c>
      <c r="Q134" s="5">
        <v>140.19999999999999</v>
      </c>
      <c r="R134" s="5">
        <v>134.1</v>
      </c>
      <c r="S134" s="5">
        <v>128.19999999999999</v>
      </c>
      <c r="T134" s="5">
        <v>133.19999999999999</v>
      </c>
      <c r="U134" s="5">
        <v>127.3</v>
      </c>
      <c r="V134" s="5">
        <v>123.6</v>
      </c>
      <c r="W134" s="5">
        <v>127.4</v>
      </c>
      <c r="X134" s="5">
        <v>124.8</v>
      </c>
      <c r="Y134" s="5">
        <v>113.1</v>
      </c>
      <c r="Z134" s="5">
        <v>122.7</v>
      </c>
      <c r="AA134" s="5">
        <v>131.69999999999999</v>
      </c>
      <c r="AB134" s="5">
        <v>121.5</v>
      </c>
      <c r="AC134" s="5">
        <v>122.1</v>
      </c>
      <c r="AD134" s="5">
        <v>131.1</v>
      </c>
    </row>
    <row r="135" spans="1:30" x14ac:dyDescent="0.35">
      <c r="A135" s="5" t="s">
        <v>30</v>
      </c>
      <c r="B135" s="5">
        <v>2016</v>
      </c>
      <c r="C135" s="5" t="s">
        <v>42</v>
      </c>
      <c r="D135" s="11">
        <v>130.80000000000001</v>
      </c>
      <c r="E135" s="5">
        <v>138.19999999999999</v>
      </c>
      <c r="F135" s="5">
        <v>130.5</v>
      </c>
      <c r="G135" s="5">
        <v>135.5</v>
      </c>
      <c r="H135" s="5">
        <v>120.2</v>
      </c>
      <c r="I135" s="5">
        <v>139.19999999999999</v>
      </c>
      <c r="J135" s="5">
        <v>149.5</v>
      </c>
      <c r="K135" s="5">
        <v>170.4</v>
      </c>
      <c r="L135" s="5">
        <v>113.1</v>
      </c>
      <c r="M135" s="5">
        <v>135.80000000000001</v>
      </c>
      <c r="N135" s="5">
        <v>128.80000000000001</v>
      </c>
      <c r="O135" s="5">
        <v>141.5</v>
      </c>
      <c r="P135" s="5">
        <v>137.19999999999999</v>
      </c>
      <c r="Q135" s="5">
        <v>139.9</v>
      </c>
      <c r="R135" s="5">
        <v>138.5</v>
      </c>
      <c r="S135" s="5">
        <v>133.5</v>
      </c>
      <c r="T135" s="5">
        <v>137.80000000000001</v>
      </c>
      <c r="U135" s="5" t="s">
        <v>32</v>
      </c>
      <c r="V135" s="5">
        <v>129.69999999999999</v>
      </c>
      <c r="W135" s="5">
        <v>131.1</v>
      </c>
      <c r="X135" s="5">
        <v>127.8</v>
      </c>
      <c r="Y135" s="5">
        <v>117</v>
      </c>
      <c r="Z135" s="5">
        <v>125.7</v>
      </c>
      <c r="AA135" s="5">
        <v>132.19999999999999</v>
      </c>
      <c r="AB135" s="5">
        <v>122.8</v>
      </c>
      <c r="AC135" s="5">
        <v>124.9</v>
      </c>
      <c r="AD135" s="5">
        <v>133.4</v>
      </c>
    </row>
    <row r="136" spans="1:30" x14ac:dyDescent="0.35">
      <c r="A136" s="5" t="s">
        <v>33</v>
      </c>
      <c r="B136" s="5">
        <v>2016</v>
      </c>
      <c r="C136" s="5" t="s">
        <v>42</v>
      </c>
      <c r="D136" s="11">
        <v>128.1</v>
      </c>
      <c r="E136" s="5">
        <v>137.69999999999999</v>
      </c>
      <c r="F136" s="5">
        <v>130.6</v>
      </c>
      <c r="G136" s="5">
        <v>132.6</v>
      </c>
      <c r="H136" s="5">
        <v>111.9</v>
      </c>
      <c r="I136" s="5">
        <v>132.5</v>
      </c>
      <c r="J136" s="5">
        <v>152.9</v>
      </c>
      <c r="K136" s="5">
        <v>173.6</v>
      </c>
      <c r="L136" s="5">
        <v>115.1</v>
      </c>
      <c r="M136" s="5">
        <v>144.80000000000001</v>
      </c>
      <c r="N136" s="5">
        <v>122.1</v>
      </c>
      <c r="O136" s="5">
        <v>138.80000000000001</v>
      </c>
      <c r="P136" s="5">
        <v>135.69999999999999</v>
      </c>
      <c r="Q136" s="5">
        <v>143.9</v>
      </c>
      <c r="R136" s="5">
        <v>128.69999999999999</v>
      </c>
      <c r="S136" s="5">
        <v>121.6</v>
      </c>
      <c r="T136" s="5">
        <v>127.7</v>
      </c>
      <c r="U136" s="5">
        <v>127.9</v>
      </c>
      <c r="V136" s="5">
        <v>114.8</v>
      </c>
      <c r="W136" s="5">
        <v>124.3</v>
      </c>
      <c r="X136" s="5">
        <v>121.4</v>
      </c>
      <c r="Y136" s="5">
        <v>111.8</v>
      </c>
      <c r="Z136" s="5">
        <v>120.8</v>
      </c>
      <c r="AA136" s="5">
        <v>131.6</v>
      </c>
      <c r="AB136" s="5">
        <v>121.2</v>
      </c>
      <c r="AC136" s="5">
        <v>120.5</v>
      </c>
      <c r="AD136" s="5">
        <v>128</v>
      </c>
    </row>
    <row r="137" spans="1:30" x14ac:dyDescent="0.35">
      <c r="A137" s="5" t="s">
        <v>34</v>
      </c>
      <c r="B137" s="5">
        <v>2016</v>
      </c>
      <c r="C137" s="5" t="s">
        <v>42</v>
      </c>
      <c r="D137" s="11">
        <v>129.9</v>
      </c>
      <c r="E137" s="5">
        <v>138</v>
      </c>
      <c r="F137" s="5">
        <v>130.5</v>
      </c>
      <c r="G137" s="5">
        <v>134.4</v>
      </c>
      <c r="H137" s="5">
        <v>117.2</v>
      </c>
      <c r="I137" s="5">
        <v>136.1</v>
      </c>
      <c r="J137" s="5">
        <v>150.69999999999999</v>
      </c>
      <c r="K137" s="5">
        <v>171.5</v>
      </c>
      <c r="L137" s="5">
        <v>113.8</v>
      </c>
      <c r="M137" s="5">
        <v>138.80000000000001</v>
      </c>
      <c r="N137" s="5">
        <v>126</v>
      </c>
      <c r="O137" s="5">
        <v>140.19999999999999</v>
      </c>
      <c r="P137" s="5">
        <v>136.6</v>
      </c>
      <c r="Q137" s="5">
        <v>141</v>
      </c>
      <c r="R137" s="5">
        <v>134.6</v>
      </c>
      <c r="S137" s="5">
        <v>128.6</v>
      </c>
      <c r="T137" s="5">
        <v>133.80000000000001</v>
      </c>
      <c r="U137" s="5">
        <v>127.9</v>
      </c>
      <c r="V137" s="5">
        <v>124.1</v>
      </c>
      <c r="W137" s="5">
        <v>127.9</v>
      </c>
      <c r="X137" s="5">
        <v>125.4</v>
      </c>
      <c r="Y137" s="5">
        <v>114.3</v>
      </c>
      <c r="Z137" s="5">
        <v>122.9</v>
      </c>
      <c r="AA137" s="5">
        <v>131.80000000000001</v>
      </c>
      <c r="AB137" s="5">
        <v>122.1</v>
      </c>
      <c r="AC137" s="5">
        <v>122.8</v>
      </c>
      <c r="AD137" s="5">
        <v>130.9</v>
      </c>
    </row>
    <row r="138" spans="1:30" x14ac:dyDescent="0.35">
      <c r="A138" s="5" t="s">
        <v>30</v>
      </c>
      <c r="B138" s="5">
        <v>2016</v>
      </c>
      <c r="C138" s="5" t="s">
        <v>43</v>
      </c>
      <c r="D138" s="11">
        <v>131.30000000000001</v>
      </c>
      <c r="E138" s="5">
        <v>137.6</v>
      </c>
      <c r="F138" s="5">
        <v>130.1</v>
      </c>
      <c r="G138" s="5">
        <v>136</v>
      </c>
      <c r="H138" s="5">
        <v>120.8</v>
      </c>
      <c r="I138" s="5">
        <v>138.4</v>
      </c>
      <c r="J138" s="5">
        <v>149.19999999999999</v>
      </c>
      <c r="K138" s="5">
        <v>170.2</v>
      </c>
      <c r="L138" s="5">
        <v>113.4</v>
      </c>
      <c r="M138" s="5">
        <v>136.30000000000001</v>
      </c>
      <c r="N138" s="5">
        <v>128.69999999999999</v>
      </c>
      <c r="O138" s="5">
        <v>142.4</v>
      </c>
      <c r="P138" s="5">
        <v>137.4</v>
      </c>
      <c r="Q138" s="5">
        <v>140.9</v>
      </c>
      <c r="R138" s="5">
        <v>139.6</v>
      </c>
      <c r="S138" s="5">
        <v>134.30000000000001</v>
      </c>
      <c r="T138" s="5">
        <v>138.80000000000001</v>
      </c>
      <c r="U138" s="5" t="s">
        <v>32</v>
      </c>
      <c r="V138" s="5">
        <v>129.80000000000001</v>
      </c>
      <c r="W138" s="5">
        <v>131.80000000000001</v>
      </c>
      <c r="X138" s="5">
        <v>128.69999999999999</v>
      </c>
      <c r="Y138" s="5">
        <v>117.8</v>
      </c>
      <c r="Z138" s="5">
        <v>126.5</v>
      </c>
      <c r="AA138" s="5">
        <v>133</v>
      </c>
      <c r="AB138" s="5">
        <v>123</v>
      </c>
      <c r="AC138" s="5">
        <v>125.7</v>
      </c>
      <c r="AD138" s="5">
        <v>133.80000000000001</v>
      </c>
    </row>
    <row r="139" spans="1:30" x14ac:dyDescent="0.35">
      <c r="A139" s="5" t="s">
        <v>33</v>
      </c>
      <c r="B139" s="5">
        <v>2016</v>
      </c>
      <c r="C139" s="5" t="s">
        <v>43</v>
      </c>
      <c r="D139" s="11">
        <v>128.69999999999999</v>
      </c>
      <c r="E139" s="5">
        <v>138.4</v>
      </c>
      <c r="F139" s="5">
        <v>130.30000000000001</v>
      </c>
      <c r="G139" s="5">
        <v>132.69999999999999</v>
      </c>
      <c r="H139" s="5">
        <v>112.5</v>
      </c>
      <c r="I139" s="5">
        <v>130.4</v>
      </c>
      <c r="J139" s="5">
        <v>155.1</v>
      </c>
      <c r="K139" s="5">
        <v>175.7</v>
      </c>
      <c r="L139" s="5">
        <v>115.4</v>
      </c>
      <c r="M139" s="5">
        <v>145.30000000000001</v>
      </c>
      <c r="N139" s="5">
        <v>122.5</v>
      </c>
      <c r="O139" s="5">
        <v>139.6</v>
      </c>
      <c r="P139" s="5">
        <v>136.30000000000001</v>
      </c>
      <c r="Q139" s="5">
        <v>144.30000000000001</v>
      </c>
      <c r="R139" s="5">
        <v>129.1</v>
      </c>
      <c r="S139" s="5">
        <v>121.9</v>
      </c>
      <c r="T139" s="5">
        <v>128</v>
      </c>
      <c r="U139" s="5">
        <v>128.69999999999999</v>
      </c>
      <c r="V139" s="5">
        <v>115.2</v>
      </c>
      <c r="W139" s="5">
        <v>124.5</v>
      </c>
      <c r="X139" s="5">
        <v>121.8</v>
      </c>
      <c r="Y139" s="5">
        <v>112.8</v>
      </c>
      <c r="Z139" s="5">
        <v>121.2</v>
      </c>
      <c r="AA139" s="5">
        <v>131.9</v>
      </c>
      <c r="AB139" s="5">
        <v>120.8</v>
      </c>
      <c r="AC139" s="5">
        <v>120.9</v>
      </c>
      <c r="AD139" s="5">
        <v>128.6</v>
      </c>
    </row>
    <row r="140" spans="1:30" x14ac:dyDescent="0.35">
      <c r="A140" s="5" t="s">
        <v>34</v>
      </c>
      <c r="B140" s="5">
        <v>2016</v>
      </c>
      <c r="C140" s="5" t="s">
        <v>43</v>
      </c>
      <c r="D140" s="11">
        <v>130.5</v>
      </c>
      <c r="E140" s="5">
        <v>137.9</v>
      </c>
      <c r="F140" s="5">
        <v>130.19999999999999</v>
      </c>
      <c r="G140" s="5">
        <v>134.80000000000001</v>
      </c>
      <c r="H140" s="5">
        <v>117.8</v>
      </c>
      <c r="I140" s="5">
        <v>134.69999999999999</v>
      </c>
      <c r="J140" s="5">
        <v>151.19999999999999</v>
      </c>
      <c r="K140" s="5">
        <v>172.1</v>
      </c>
      <c r="L140" s="5">
        <v>114.1</v>
      </c>
      <c r="M140" s="5">
        <v>139.30000000000001</v>
      </c>
      <c r="N140" s="5">
        <v>126.1</v>
      </c>
      <c r="O140" s="5">
        <v>141.1</v>
      </c>
      <c r="P140" s="5">
        <v>137</v>
      </c>
      <c r="Q140" s="5">
        <v>141.80000000000001</v>
      </c>
      <c r="R140" s="5">
        <v>135.5</v>
      </c>
      <c r="S140" s="5">
        <v>129.1</v>
      </c>
      <c r="T140" s="5">
        <v>134.5</v>
      </c>
      <c r="U140" s="5">
        <v>128.69999999999999</v>
      </c>
      <c r="V140" s="5">
        <v>124.3</v>
      </c>
      <c r="W140" s="5">
        <v>128.4</v>
      </c>
      <c r="X140" s="5">
        <v>126.1</v>
      </c>
      <c r="Y140" s="5">
        <v>115.2</v>
      </c>
      <c r="Z140" s="5">
        <v>123.5</v>
      </c>
      <c r="AA140" s="5">
        <v>132.4</v>
      </c>
      <c r="AB140" s="5">
        <v>122.1</v>
      </c>
      <c r="AC140" s="5">
        <v>123.4</v>
      </c>
      <c r="AD140" s="5">
        <v>131.4</v>
      </c>
    </row>
    <row r="141" spans="1:30" x14ac:dyDescent="0.35">
      <c r="A141" s="5" t="s">
        <v>30</v>
      </c>
      <c r="B141" s="5">
        <v>2016</v>
      </c>
      <c r="C141" s="5" t="s">
        <v>45</v>
      </c>
      <c r="D141" s="11">
        <v>132</v>
      </c>
      <c r="E141" s="5">
        <v>137.4</v>
      </c>
      <c r="F141" s="5">
        <v>130.6</v>
      </c>
      <c r="G141" s="5">
        <v>136.19999999999999</v>
      </c>
      <c r="H141" s="5">
        <v>121.1</v>
      </c>
      <c r="I141" s="5">
        <v>136.9</v>
      </c>
      <c r="J141" s="5">
        <v>141.80000000000001</v>
      </c>
      <c r="K141" s="5">
        <v>170</v>
      </c>
      <c r="L141" s="5">
        <v>113.4</v>
      </c>
      <c r="M141" s="5">
        <v>136.80000000000001</v>
      </c>
      <c r="N141" s="5">
        <v>128.69999999999999</v>
      </c>
      <c r="O141" s="5">
        <v>143.1</v>
      </c>
      <c r="P141" s="5">
        <v>136.6</v>
      </c>
      <c r="Q141" s="5">
        <v>141.19999999999999</v>
      </c>
      <c r="R141" s="5">
        <v>139.9</v>
      </c>
      <c r="S141" s="5">
        <v>134.5</v>
      </c>
      <c r="T141" s="5">
        <v>139.19999999999999</v>
      </c>
      <c r="U141" s="5" t="s">
        <v>32</v>
      </c>
      <c r="V141" s="5">
        <v>130.30000000000001</v>
      </c>
      <c r="W141" s="5">
        <v>132.1</v>
      </c>
      <c r="X141" s="5">
        <v>129.1</v>
      </c>
      <c r="Y141" s="5">
        <v>118.2</v>
      </c>
      <c r="Z141" s="5">
        <v>126.9</v>
      </c>
      <c r="AA141" s="5">
        <v>133.69999999999999</v>
      </c>
      <c r="AB141" s="5">
        <v>123.5</v>
      </c>
      <c r="AC141" s="5">
        <v>126.1</v>
      </c>
      <c r="AD141" s="5">
        <v>133.6</v>
      </c>
    </row>
    <row r="142" spans="1:30" x14ac:dyDescent="0.35">
      <c r="A142" s="5" t="s">
        <v>33</v>
      </c>
      <c r="B142" s="5">
        <v>2016</v>
      </c>
      <c r="C142" s="5" t="s">
        <v>45</v>
      </c>
      <c r="D142" s="11">
        <v>130.19999999999999</v>
      </c>
      <c r="E142" s="5">
        <v>138.5</v>
      </c>
      <c r="F142" s="5">
        <v>134.1</v>
      </c>
      <c r="G142" s="5">
        <v>132.9</v>
      </c>
      <c r="H142" s="5">
        <v>112.6</v>
      </c>
      <c r="I142" s="5">
        <v>130.80000000000001</v>
      </c>
      <c r="J142" s="5">
        <v>142</v>
      </c>
      <c r="K142" s="5">
        <v>174.9</v>
      </c>
      <c r="L142" s="5">
        <v>115.6</v>
      </c>
      <c r="M142" s="5">
        <v>145.4</v>
      </c>
      <c r="N142" s="5">
        <v>122.7</v>
      </c>
      <c r="O142" s="5">
        <v>140.30000000000001</v>
      </c>
      <c r="P142" s="5">
        <v>135.19999999999999</v>
      </c>
      <c r="Q142" s="5">
        <v>144.30000000000001</v>
      </c>
      <c r="R142" s="5">
        <v>129.6</v>
      </c>
      <c r="S142" s="5">
        <v>122.1</v>
      </c>
      <c r="T142" s="5">
        <v>128.5</v>
      </c>
      <c r="U142" s="5">
        <v>129.1</v>
      </c>
      <c r="V142" s="5">
        <v>116.2</v>
      </c>
      <c r="W142" s="5">
        <v>124.7</v>
      </c>
      <c r="X142" s="5">
        <v>122.1</v>
      </c>
      <c r="Y142" s="5">
        <v>113.4</v>
      </c>
      <c r="Z142" s="5">
        <v>121.7</v>
      </c>
      <c r="AA142" s="5">
        <v>132.1</v>
      </c>
      <c r="AB142" s="5">
        <v>121.3</v>
      </c>
      <c r="AC142" s="5">
        <v>121.3</v>
      </c>
      <c r="AD142" s="5">
        <v>128.5</v>
      </c>
    </row>
    <row r="143" spans="1:30" x14ac:dyDescent="0.35">
      <c r="A143" s="5" t="s">
        <v>34</v>
      </c>
      <c r="B143" s="5">
        <v>2016</v>
      </c>
      <c r="C143" s="5" t="s">
        <v>45</v>
      </c>
      <c r="D143" s="11">
        <v>131.4</v>
      </c>
      <c r="E143" s="5">
        <v>137.80000000000001</v>
      </c>
      <c r="F143" s="5">
        <v>132</v>
      </c>
      <c r="G143" s="5">
        <v>135</v>
      </c>
      <c r="H143" s="5">
        <v>118</v>
      </c>
      <c r="I143" s="5">
        <v>134.1</v>
      </c>
      <c r="J143" s="5">
        <v>141.9</v>
      </c>
      <c r="K143" s="5">
        <v>171.7</v>
      </c>
      <c r="L143" s="5">
        <v>114.1</v>
      </c>
      <c r="M143" s="5">
        <v>139.69999999999999</v>
      </c>
      <c r="N143" s="5">
        <v>126.2</v>
      </c>
      <c r="O143" s="5">
        <v>141.80000000000001</v>
      </c>
      <c r="P143" s="5">
        <v>136.1</v>
      </c>
      <c r="Q143" s="5">
        <v>142</v>
      </c>
      <c r="R143" s="5">
        <v>135.80000000000001</v>
      </c>
      <c r="S143" s="5">
        <v>129.30000000000001</v>
      </c>
      <c r="T143" s="5">
        <v>135</v>
      </c>
      <c r="U143" s="5">
        <v>129.1</v>
      </c>
      <c r="V143" s="5">
        <v>125</v>
      </c>
      <c r="W143" s="5">
        <v>128.6</v>
      </c>
      <c r="X143" s="5">
        <v>126.4</v>
      </c>
      <c r="Y143" s="5">
        <v>115.7</v>
      </c>
      <c r="Z143" s="5">
        <v>124</v>
      </c>
      <c r="AA143" s="5">
        <v>132.80000000000001</v>
      </c>
      <c r="AB143" s="5">
        <v>122.6</v>
      </c>
      <c r="AC143" s="5">
        <v>123.8</v>
      </c>
      <c r="AD143" s="5">
        <v>131.19999999999999</v>
      </c>
    </row>
    <row r="144" spans="1:30" x14ac:dyDescent="0.35">
      <c r="A144" s="5" t="s">
        <v>30</v>
      </c>
      <c r="B144" s="5">
        <v>2016</v>
      </c>
      <c r="C144" s="5" t="s">
        <v>46</v>
      </c>
      <c r="D144" s="11">
        <v>132.6</v>
      </c>
      <c r="E144" s="5">
        <v>137.30000000000001</v>
      </c>
      <c r="F144" s="5">
        <v>131.6</v>
      </c>
      <c r="G144" s="5">
        <v>136.30000000000001</v>
      </c>
      <c r="H144" s="5">
        <v>121.6</v>
      </c>
      <c r="I144" s="5">
        <v>135.6</v>
      </c>
      <c r="J144" s="5">
        <v>127.5</v>
      </c>
      <c r="K144" s="5">
        <v>167.9</v>
      </c>
      <c r="L144" s="5">
        <v>113.8</v>
      </c>
      <c r="M144" s="5">
        <v>137.5</v>
      </c>
      <c r="N144" s="5">
        <v>129.1</v>
      </c>
      <c r="O144" s="5">
        <v>143.6</v>
      </c>
      <c r="P144" s="5">
        <v>134.69999999999999</v>
      </c>
      <c r="Q144" s="5">
        <v>142.4</v>
      </c>
      <c r="R144" s="5">
        <v>140.4</v>
      </c>
      <c r="S144" s="5">
        <v>135.19999999999999</v>
      </c>
      <c r="T144" s="5">
        <v>139.69999999999999</v>
      </c>
      <c r="U144" s="5" t="s">
        <v>32</v>
      </c>
      <c r="V144" s="5">
        <v>132</v>
      </c>
      <c r="W144" s="5">
        <v>132.9</v>
      </c>
      <c r="X144" s="5">
        <v>129.69999999999999</v>
      </c>
      <c r="Y144" s="5">
        <v>118.6</v>
      </c>
      <c r="Z144" s="5">
        <v>127.3</v>
      </c>
      <c r="AA144" s="5">
        <v>134.19999999999999</v>
      </c>
      <c r="AB144" s="5">
        <v>121.9</v>
      </c>
      <c r="AC144" s="5">
        <v>126.3</v>
      </c>
      <c r="AD144" s="5">
        <v>132.80000000000001</v>
      </c>
    </row>
    <row r="145" spans="1:30" x14ac:dyDescent="0.35">
      <c r="A145" s="5" t="s">
        <v>33</v>
      </c>
      <c r="B145" s="5">
        <v>2016</v>
      </c>
      <c r="C145" s="5" t="s">
        <v>46</v>
      </c>
      <c r="D145" s="11">
        <v>131.6</v>
      </c>
      <c r="E145" s="5">
        <v>138.19999999999999</v>
      </c>
      <c r="F145" s="5">
        <v>134.9</v>
      </c>
      <c r="G145" s="5">
        <v>133.1</v>
      </c>
      <c r="H145" s="5">
        <v>113.5</v>
      </c>
      <c r="I145" s="5">
        <v>129.30000000000001</v>
      </c>
      <c r="J145" s="5">
        <v>121.1</v>
      </c>
      <c r="K145" s="5">
        <v>170.3</v>
      </c>
      <c r="L145" s="5">
        <v>115.5</v>
      </c>
      <c r="M145" s="5">
        <v>145.5</v>
      </c>
      <c r="N145" s="5">
        <v>123.1</v>
      </c>
      <c r="O145" s="5">
        <v>140.9</v>
      </c>
      <c r="P145" s="5">
        <v>132.80000000000001</v>
      </c>
      <c r="Q145" s="5">
        <v>145</v>
      </c>
      <c r="R145" s="5">
        <v>130</v>
      </c>
      <c r="S145" s="5">
        <v>122.2</v>
      </c>
      <c r="T145" s="5">
        <v>128.80000000000001</v>
      </c>
      <c r="U145" s="5">
        <v>128.5</v>
      </c>
      <c r="V145" s="5">
        <v>117.8</v>
      </c>
      <c r="W145" s="5">
        <v>125</v>
      </c>
      <c r="X145" s="5">
        <v>122.3</v>
      </c>
      <c r="Y145" s="5">
        <v>113.7</v>
      </c>
      <c r="Z145" s="5">
        <v>121.8</v>
      </c>
      <c r="AA145" s="5">
        <v>132.30000000000001</v>
      </c>
      <c r="AB145" s="5">
        <v>119.9</v>
      </c>
      <c r="AC145" s="5">
        <v>121.4</v>
      </c>
      <c r="AD145" s="5">
        <v>127.6</v>
      </c>
    </row>
    <row r="146" spans="1:30" x14ac:dyDescent="0.35">
      <c r="A146" s="5" t="s">
        <v>34</v>
      </c>
      <c r="B146" s="5">
        <v>2016</v>
      </c>
      <c r="C146" s="5" t="s">
        <v>46</v>
      </c>
      <c r="D146" s="11">
        <v>132.30000000000001</v>
      </c>
      <c r="E146" s="5">
        <v>137.6</v>
      </c>
      <c r="F146" s="5">
        <v>132.9</v>
      </c>
      <c r="G146" s="5">
        <v>135.1</v>
      </c>
      <c r="H146" s="5">
        <v>118.6</v>
      </c>
      <c r="I146" s="5">
        <v>132.69999999999999</v>
      </c>
      <c r="J146" s="5">
        <v>125.3</v>
      </c>
      <c r="K146" s="5">
        <v>168.7</v>
      </c>
      <c r="L146" s="5">
        <v>114.4</v>
      </c>
      <c r="M146" s="5">
        <v>140.19999999999999</v>
      </c>
      <c r="N146" s="5">
        <v>126.6</v>
      </c>
      <c r="O146" s="5">
        <v>142.30000000000001</v>
      </c>
      <c r="P146" s="5">
        <v>134</v>
      </c>
      <c r="Q146" s="5">
        <v>143.1</v>
      </c>
      <c r="R146" s="5">
        <v>136.30000000000001</v>
      </c>
      <c r="S146" s="5">
        <v>129.80000000000001</v>
      </c>
      <c r="T146" s="5">
        <v>135.4</v>
      </c>
      <c r="U146" s="5">
        <v>128.5</v>
      </c>
      <c r="V146" s="5">
        <v>126.6</v>
      </c>
      <c r="W146" s="5">
        <v>129.19999999999999</v>
      </c>
      <c r="X146" s="5">
        <v>126.9</v>
      </c>
      <c r="Y146" s="5">
        <v>116</v>
      </c>
      <c r="Z146" s="5">
        <v>124.2</v>
      </c>
      <c r="AA146" s="5">
        <v>133.1</v>
      </c>
      <c r="AB146" s="5">
        <v>121.1</v>
      </c>
      <c r="AC146" s="5">
        <v>123.9</v>
      </c>
      <c r="AD146" s="5">
        <v>130.4</v>
      </c>
    </row>
    <row r="147" spans="1:30" x14ac:dyDescent="0.35">
      <c r="A147" s="5" t="s">
        <v>30</v>
      </c>
      <c r="B147" s="5">
        <v>2017</v>
      </c>
      <c r="C147" s="5" t="s">
        <v>31</v>
      </c>
      <c r="D147" s="11">
        <v>133.1</v>
      </c>
      <c r="E147" s="5">
        <v>137.80000000000001</v>
      </c>
      <c r="F147" s="5">
        <v>131.9</v>
      </c>
      <c r="G147" s="5">
        <v>136.69999999999999</v>
      </c>
      <c r="H147" s="5">
        <v>122</v>
      </c>
      <c r="I147" s="5">
        <v>136</v>
      </c>
      <c r="J147" s="5">
        <v>119.8</v>
      </c>
      <c r="K147" s="5">
        <v>161.69999999999999</v>
      </c>
      <c r="L147" s="5">
        <v>114.8</v>
      </c>
      <c r="M147" s="5">
        <v>136.9</v>
      </c>
      <c r="N147" s="5">
        <v>129</v>
      </c>
      <c r="O147" s="5">
        <v>143.9</v>
      </c>
      <c r="P147" s="5">
        <v>133.69999999999999</v>
      </c>
      <c r="Q147" s="5">
        <v>143.1</v>
      </c>
      <c r="R147" s="5">
        <v>140.69999999999999</v>
      </c>
      <c r="S147" s="5">
        <v>135.80000000000001</v>
      </c>
      <c r="T147" s="5">
        <v>140</v>
      </c>
      <c r="U147" s="5" t="s">
        <v>32</v>
      </c>
      <c r="V147" s="5">
        <v>132.1</v>
      </c>
      <c r="W147" s="5">
        <v>133.19999999999999</v>
      </c>
      <c r="X147" s="5">
        <v>129.9</v>
      </c>
      <c r="Y147" s="5">
        <v>119.1</v>
      </c>
      <c r="Z147" s="5">
        <v>127</v>
      </c>
      <c r="AA147" s="5">
        <v>134.6</v>
      </c>
      <c r="AB147" s="5">
        <v>122.3</v>
      </c>
      <c r="AC147" s="5">
        <v>126.6</v>
      </c>
      <c r="AD147" s="5">
        <v>132.4</v>
      </c>
    </row>
    <row r="148" spans="1:30" x14ac:dyDescent="0.35">
      <c r="A148" s="5" t="s">
        <v>33</v>
      </c>
      <c r="B148" s="5">
        <v>2017</v>
      </c>
      <c r="C148" s="5" t="s">
        <v>31</v>
      </c>
      <c r="D148" s="11">
        <v>132.19999999999999</v>
      </c>
      <c r="E148" s="5">
        <v>138.9</v>
      </c>
      <c r="F148" s="5">
        <v>132.6</v>
      </c>
      <c r="G148" s="5">
        <v>133.1</v>
      </c>
      <c r="H148" s="5">
        <v>114</v>
      </c>
      <c r="I148" s="5">
        <v>129.6</v>
      </c>
      <c r="J148" s="5">
        <v>118.7</v>
      </c>
      <c r="K148" s="5">
        <v>155.1</v>
      </c>
      <c r="L148" s="5">
        <v>117.3</v>
      </c>
      <c r="M148" s="5">
        <v>144.9</v>
      </c>
      <c r="N148" s="5">
        <v>123.2</v>
      </c>
      <c r="O148" s="5">
        <v>141.6</v>
      </c>
      <c r="P148" s="5">
        <v>132</v>
      </c>
      <c r="Q148" s="5">
        <v>145.6</v>
      </c>
      <c r="R148" s="5">
        <v>130.19999999999999</v>
      </c>
      <c r="S148" s="5">
        <v>122.3</v>
      </c>
      <c r="T148" s="5">
        <v>129</v>
      </c>
      <c r="U148" s="5">
        <v>129.6</v>
      </c>
      <c r="V148" s="5">
        <v>118</v>
      </c>
      <c r="W148" s="5">
        <v>125.1</v>
      </c>
      <c r="X148" s="5">
        <v>122.6</v>
      </c>
      <c r="Y148" s="5">
        <v>115.2</v>
      </c>
      <c r="Z148" s="5">
        <v>122</v>
      </c>
      <c r="AA148" s="5">
        <v>132.4</v>
      </c>
      <c r="AB148" s="5">
        <v>120.9</v>
      </c>
      <c r="AC148" s="5">
        <v>122.1</v>
      </c>
      <c r="AD148" s="5">
        <v>127.8</v>
      </c>
    </row>
    <row r="149" spans="1:30" x14ac:dyDescent="0.35">
      <c r="A149" s="5" t="s">
        <v>34</v>
      </c>
      <c r="B149" s="5">
        <v>2017</v>
      </c>
      <c r="C149" s="5" t="s">
        <v>31</v>
      </c>
      <c r="D149" s="11">
        <v>132.80000000000001</v>
      </c>
      <c r="E149" s="5">
        <v>138.19999999999999</v>
      </c>
      <c r="F149" s="5">
        <v>132.19999999999999</v>
      </c>
      <c r="G149" s="5">
        <v>135.4</v>
      </c>
      <c r="H149" s="5">
        <v>119.1</v>
      </c>
      <c r="I149" s="5">
        <v>133</v>
      </c>
      <c r="J149" s="5">
        <v>119.4</v>
      </c>
      <c r="K149" s="5">
        <v>159.5</v>
      </c>
      <c r="L149" s="5">
        <v>115.6</v>
      </c>
      <c r="M149" s="5">
        <v>139.6</v>
      </c>
      <c r="N149" s="5">
        <v>126.6</v>
      </c>
      <c r="O149" s="5">
        <v>142.80000000000001</v>
      </c>
      <c r="P149" s="5">
        <v>133.1</v>
      </c>
      <c r="Q149" s="5">
        <v>143.80000000000001</v>
      </c>
      <c r="R149" s="5">
        <v>136.6</v>
      </c>
      <c r="S149" s="5">
        <v>130.19999999999999</v>
      </c>
      <c r="T149" s="5">
        <v>135.6</v>
      </c>
      <c r="U149" s="5">
        <v>129.6</v>
      </c>
      <c r="V149" s="5">
        <v>126.8</v>
      </c>
      <c r="W149" s="5">
        <v>129.4</v>
      </c>
      <c r="X149" s="5">
        <v>127.1</v>
      </c>
      <c r="Y149" s="5">
        <v>117</v>
      </c>
      <c r="Z149" s="5">
        <v>124.2</v>
      </c>
      <c r="AA149" s="5">
        <v>133.30000000000001</v>
      </c>
      <c r="AB149" s="5">
        <v>121.7</v>
      </c>
      <c r="AC149" s="5">
        <v>124.4</v>
      </c>
      <c r="AD149" s="5">
        <v>130.30000000000001</v>
      </c>
    </row>
    <row r="150" spans="1:30" x14ac:dyDescent="0.35">
      <c r="A150" s="5" t="s">
        <v>30</v>
      </c>
      <c r="B150" s="5">
        <v>2017</v>
      </c>
      <c r="C150" s="5" t="s">
        <v>35</v>
      </c>
      <c r="D150" s="11">
        <v>133.30000000000001</v>
      </c>
      <c r="E150" s="5">
        <v>138.30000000000001</v>
      </c>
      <c r="F150" s="5">
        <v>129.30000000000001</v>
      </c>
      <c r="G150" s="5">
        <v>137.19999999999999</v>
      </c>
      <c r="H150" s="5">
        <v>122.1</v>
      </c>
      <c r="I150" s="5">
        <v>138.69999999999999</v>
      </c>
      <c r="J150" s="5">
        <v>119.1</v>
      </c>
      <c r="K150" s="5">
        <v>156.9</v>
      </c>
      <c r="L150" s="5">
        <v>116.2</v>
      </c>
      <c r="M150" s="5">
        <v>136</v>
      </c>
      <c r="N150" s="5">
        <v>129.4</v>
      </c>
      <c r="O150" s="5">
        <v>144.4</v>
      </c>
      <c r="P150" s="5">
        <v>133.6</v>
      </c>
      <c r="Q150" s="5">
        <v>143.69999999999999</v>
      </c>
      <c r="R150" s="5">
        <v>140.9</v>
      </c>
      <c r="S150" s="5">
        <v>135.80000000000001</v>
      </c>
      <c r="T150" s="5">
        <v>140.19999999999999</v>
      </c>
      <c r="U150" s="5" t="s">
        <v>32</v>
      </c>
      <c r="V150" s="5">
        <v>133.19999999999999</v>
      </c>
      <c r="W150" s="5">
        <v>133.6</v>
      </c>
      <c r="X150" s="5">
        <v>130.1</v>
      </c>
      <c r="Y150" s="5">
        <v>119.5</v>
      </c>
      <c r="Z150" s="5">
        <v>127.7</v>
      </c>
      <c r="AA150" s="5">
        <v>134.9</v>
      </c>
      <c r="AB150" s="5">
        <v>123.2</v>
      </c>
      <c r="AC150" s="5">
        <v>127</v>
      </c>
      <c r="AD150" s="5">
        <v>132.6</v>
      </c>
    </row>
    <row r="151" spans="1:30" x14ac:dyDescent="0.35">
      <c r="A151" s="5" t="s">
        <v>33</v>
      </c>
      <c r="B151" s="5">
        <v>2017</v>
      </c>
      <c r="C151" s="5" t="s">
        <v>35</v>
      </c>
      <c r="D151" s="11">
        <v>132.80000000000001</v>
      </c>
      <c r="E151" s="5">
        <v>139.80000000000001</v>
      </c>
      <c r="F151" s="5">
        <v>129.30000000000001</v>
      </c>
      <c r="G151" s="5">
        <v>133.5</v>
      </c>
      <c r="H151" s="5">
        <v>114.3</v>
      </c>
      <c r="I151" s="5">
        <v>131.4</v>
      </c>
      <c r="J151" s="5">
        <v>120.2</v>
      </c>
      <c r="K151" s="5">
        <v>143.1</v>
      </c>
      <c r="L151" s="5">
        <v>119.5</v>
      </c>
      <c r="M151" s="5">
        <v>144</v>
      </c>
      <c r="N151" s="5">
        <v>123.4</v>
      </c>
      <c r="O151" s="5">
        <v>141.9</v>
      </c>
      <c r="P151" s="5">
        <v>132.1</v>
      </c>
      <c r="Q151" s="5">
        <v>146.30000000000001</v>
      </c>
      <c r="R151" s="5">
        <v>130.5</v>
      </c>
      <c r="S151" s="5">
        <v>122.5</v>
      </c>
      <c r="T151" s="5">
        <v>129.30000000000001</v>
      </c>
      <c r="U151" s="5">
        <v>130.5</v>
      </c>
      <c r="V151" s="5">
        <v>119.2</v>
      </c>
      <c r="W151" s="5">
        <v>125.3</v>
      </c>
      <c r="X151" s="5">
        <v>122.9</v>
      </c>
      <c r="Y151" s="5">
        <v>115.5</v>
      </c>
      <c r="Z151" s="5">
        <v>122.2</v>
      </c>
      <c r="AA151" s="5">
        <v>132.4</v>
      </c>
      <c r="AB151" s="5">
        <v>121.7</v>
      </c>
      <c r="AC151" s="5">
        <v>122.4</v>
      </c>
      <c r="AD151" s="5">
        <v>128.19999999999999</v>
      </c>
    </row>
    <row r="152" spans="1:30" x14ac:dyDescent="0.35">
      <c r="A152" s="5" t="s">
        <v>34</v>
      </c>
      <c r="B152" s="5">
        <v>2017</v>
      </c>
      <c r="C152" s="5" t="s">
        <v>35</v>
      </c>
      <c r="D152" s="11">
        <v>133.1</v>
      </c>
      <c r="E152" s="5">
        <v>138.80000000000001</v>
      </c>
      <c r="F152" s="5">
        <v>129.30000000000001</v>
      </c>
      <c r="G152" s="5">
        <v>135.80000000000001</v>
      </c>
      <c r="H152" s="5">
        <v>119.2</v>
      </c>
      <c r="I152" s="5">
        <v>135.30000000000001</v>
      </c>
      <c r="J152" s="5">
        <v>119.5</v>
      </c>
      <c r="K152" s="5">
        <v>152.19999999999999</v>
      </c>
      <c r="L152" s="5">
        <v>117.3</v>
      </c>
      <c r="M152" s="5">
        <v>138.69999999999999</v>
      </c>
      <c r="N152" s="5">
        <v>126.9</v>
      </c>
      <c r="O152" s="5">
        <v>143.19999999999999</v>
      </c>
      <c r="P152" s="5">
        <v>133</v>
      </c>
      <c r="Q152" s="5">
        <v>144.4</v>
      </c>
      <c r="R152" s="5">
        <v>136.80000000000001</v>
      </c>
      <c r="S152" s="5">
        <v>130.30000000000001</v>
      </c>
      <c r="T152" s="5">
        <v>135.9</v>
      </c>
      <c r="U152" s="5">
        <v>130.5</v>
      </c>
      <c r="V152" s="5">
        <v>127.9</v>
      </c>
      <c r="W152" s="5">
        <v>129.69999999999999</v>
      </c>
      <c r="X152" s="5">
        <v>127.4</v>
      </c>
      <c r="Y152" s="5">
        <v>117.4</v>
      </c>
      <c r="Z152" s="5">
        <v>124.6</v>
      </c>
      <c r="AA152" s="5">
        <v>133.4</v>
      </c>
      <c r="AB152" s="5">
        <v>122.6</v>
      </c>
      <c r="AC152" s="5">
        <v>124.8</v>
      </c>
      <c r="AD152" s="5">
        <v>130.6</v>
      </c>
    </row>
    <row r="153" spans="1:30" x14ac:dyDescent="0.35">
      <c r="A153" s="5" t="s">
        <v>30</v>
      </c>
      <c r="B153" s="5">
        <v>2017</v>
      </c>
      <c r="C153" s="5" t="s">
        <v>36</v>
      </c>
      <c r="D153" s="11">
        <v>133.6</v>
      </c>
      <c r="E153" s="5">
        <v>138.80000000000001</v>
      </c>
      <c r="F153" s="5">
        <v>128.80000000000001</v>
      </c>
      <c r="G153" s="5">
        <v>137.19999999999999</v>
      </c>
      <c r="H153" s="5">
        <v>121.6</v>
      </c>
      <c r="I153" s="5">
        <v>139.69999999999999</v>
      </c>
      <c r="J153" s="5">
        <v>119.7</v>
      </c>
      <c r="K153" s="5">
        <v>148</v>
      </c>
      <c r="L153" s="5">
        <v>116.9</v>
      </c>
      <c r="M153" s="5">
        <v>135.6</v>
      </c>
      <c r="N153" s="5">
        <v>129.80000000000001</v>
      </c>
      <c r="O153" s="5">
        <v>145.4</v>
      </c>
      <c r="P153" s="5">
        <v>133.4</v>
      </c>
      <c r="Q153" s="5">
        <v>144.19999999999999</v>
      </c>
      <c r="R153" s="5">
        <v>141.6</v>
      </c>
      <c r="S153" s="5">
        <v>136.19999999999999</v>
      </c>
      <c r="T153" s="5">
        <v>140.80000000000001</v>
      </c>
      <c r="U153" s="5" t="s">
        <v>32</v>
      </c>
      <c r="V153" s="5">
        <v>134.19999999999999</v>
      </c>
      <c r="W153" s="5">
        <v>134.1</v>
      </c>
      <c r="X153" s="5">
        <v>130.6</v>
      </c>
      <c r="Y153" s="5">
        <v>119.8</v>
      </c>
      <c r="Z153" s="5">
        <v>128.30000000000001</v>
      </c>
      <c r="AA153" s="5">
        <v>135.19999999999999</v>
      </c>
      <c r="AB153" s="5">
        <v>123.3</v>
      </c>
      <c r="AC153" s="5">
        <v>127.4</v>
      </c>
      <c r="AD153" s="5">
        <v>132.80000000000001</v>
      </c>
    </row>
    <row r="154" spans="1:30" x14ac:dyDescent="0.35">
      <c r="A154" s="5" t="s">
        <v>33</v>
      </c>
      <c r="B154" s="5">
        <v>2017</v>
      </c>
      <c r="C154" s="5" t="s">
        <v>36</v>
      </c>
      <c r="D154" s="11">
        <v>132.69999999999999</v>
      </c>
      <c r="E154" s="5">
        <v>139.4</v>
      </c>
      <c r="F154" s="5">
        <v>128.4</v>
      </c>
      <c r="G154" s="5">
        <v>134.9</v>
      </c>
      <c r="H154" s="5">
        <v>114</v>
      </c>
      <c r="I154" s="5">
        <v>136.80000000000001</v>
      </c>
      <c r="J154" s="5">
        <v>122.2</v>
      </c>
      <c r="K154" s="5">
        <v>135.80000000000001</v>
      </c>
      <c r="L154" s="5">
        <v>120.3</v>
      </c>
      <c r="M154" s="5">
        <v>142.6</v>
      </c>
      <c r="N154" s="5">
        <v>123.6</v>
      </c>
      <c r="O154" s="5">
        <v>142.4</v>
      </c>
      <c r="P154" s="5">
        <v>132.6</v>
      </c>
      <c r="Q154" s="5">
        <v>147.5</v>
      </c>
      <c r="R154" s="5">
        <v>130.80000000000001</v>
      </c>
      <c r="S154" s="5">
        <v>122.8</v>
      </c>
      <c r="T154" s="5">
        <v>129.6</v>
      </c>
      <c r="U154" s="5">
        <v>131.1</v>
      </c>
      <c r="V154" s="5">
        <v>120.8</v>
      </c>
      <c r="W154" s="5">
        <v>125.6</v>
      </c>
      <c r="X154" s="5">
        <v>123.1</v>
      </c>
      <c r="Y154" s="5">
        <v>115.6</v>
      </c>
      <c r="Z154" s="5">
        <v>122.4</v>
      </c>
      <c r="AA154" s="5">
        <v>132.80000000000001</v>
      </c>
      <c r="AB154" s="5">
        <v>121.7</v>
      </c>
      <c r="AC154" s="5">
        <v>122.6</v>
      </c>
      <c r="AD154" s="5">
        <v>128.69999999999999</v>
      </c>
    </row>
    <row r="155" spans="1:30" x14ac:dyDescent="0.35">
      <c r="A155" s="5" t="s">
        <v>34</v>
      </c>
      <c r="B155" s="5">
        <v>2017</v>
      </c>
      <c r="C155" s="5" t="s">
        <v>36</v>
      </c>
      <c r="D155" s="11">
        <v>133.30000000000001</v>
      </c>
      <c r="E155" s="5">
        <v>139</v>
      </c>
      <c r="F155" s="5">
        <v>128.6</v>
      </c>
      <c r="G155" s="5">
        <v>136.30000000000001</v>
      </c>
      <c r="H155" s="5">
        <v>118.8</v>
      </c>
      <c r="I155" s="5">
        <v>138.30000000000001</v>
      </c>
      <c r="J155" s="5">
        <v>120.5</v>
      </c>
      <c r="K155" s="5">
        <v>143.9</v>
      </c>
      <c r="L155" s="5">
        <v>118</v>
      </c>
      <c r="M155" s="5">
        <v>137.9</v>
      </c>
      <c r="N155" s="5">
        <v>127.2</v>
      </c>
      <c r="O155" s="5">
        <v>144</v>
      </c>
      <c r="P155" s="5">
        <v>133.1</v>
      </c>
      <c r="Q155" s="5">
        <v>145.1</v>
      </c>
      <c r="R155" s="5">
        <v>137.30000000000001</v>
      </c>
      <c r="S155" s="5">
        <v>130.6</v>
      </c>
      <c r="T155" s="5">
        <v>136.4</v>
      </c>
      <c r="U155" s="5">
        <v>131.1</v>
      </c>
      <c r="V155" s="5">
        <v>129.1</v>
      </c>
      <c r="W155" s="5">
        <v>130.1</v>
      </c>
      <c r="X155" s="5">
        <v>127.8</v>
      </c>
      <c r="Y155" s="5">
        <v>117.6</v>
      </c>
      <c r="Z155" s="5">
        <v>125</v>
      </c>
      <c r="AA155" s="5">
        <v>133.80000000000001</v>
      </c>
      <c r="AB155" s="5">
        <v>122.6</v>
      </c>
      <c r="AC155" s="5">
        <v>125.1</v>
      </c>
      <c r="AD155" s="5">
        <v>130.9</v>
      </c>
    </row>
    <row r="156" spans="1:30" x14ac:dyDescent="0.35">
      <c r="A156" s="5" t="s">
        <v>30</v>
      </c>
      <c r="B156" s="5">
        <v>2017</v>
      </c>
      <c r="C156" s="5" t="s">
        <v>37</v>
      </c>
      <c r="D156" s="11">
        <v>133.19999999999999</v>
      </c>
      <c r="E156" s="5">
        <v>138.69999999999999</v>
      </c>
      <c r="F156" s="5">
        <v>127.1</v>
      </c>
      <c r="G156" s="5">
        <v>137.69999999999999</v>
      </c>
      <c r="H156" s="5">
        <v>121.3</v>
      </c>
      <c r="I156" s="5">
        <v>141.80000000000001</v>
      </c>
      <c r="J156" s="5">
        <v>121.5</v>
      </c>
      <c r="K156" s="5">
        <v>144.5</v>
      </c>
      <c r="L156" s="5">
        <v>117.4</v>
      </c>
      <c r="M156" s="5">
        <v>134.1</v>
      </c>
      <c r="N156" s="5">
        <v>130</v>
      </c>
      <c r="O156" s="5">
        <v>145.5</v>
      </c>
      <c r="P156" s="5">
        <v>133.5</v>
      </c>
      <c r="Q156" s="5">
        <v>144.4</v>
      </c>
      <c r="R156" s="5">
        <v>142.4</v>
      </c>
      <c r="S156" s="5">
        <v>136.80000000000001</v>
      </c>
      <c r="T156" s="5">
        <v>141.6</v>
      </c>
      <c r="U156" s="5" t="s">
        <v>32</v>
      </c>
      <c r="V156" s="5">
        <v>135</v>
      </c>
      <c r="W156" s="5">
        <v>134.30000000000001</v>
      </c>
      <c r="X156" s="5">
        <v>131</v>
      </c>
      <c r="Y156" s="5">
        <v>119.2</v>
      </c>
      <c r="Z156" s="5">
        <v>128.30000000000001</v>
      </c>
      <c r="AA156" s="5">
        <v>135.69999999999999</v>
      </c>
      <c r="AB156" s="5">
        <v>123.7</v>
      </c>
      <c r="AC156" s="5">
        <v>127.5</v>
      </c>
      <c r="AD156" s="5">
        <v>132.9</v>
      </c>
    </row>
    <row r="157" spans="1:30" x14ac:dyDescent="0.35">
      <c r="A157" s="5" t="s">
        <v>33</v>
      </c>
      <c r="B157" s="5">
        <v>2017</v>
      </c>
      <c r="C157" s="5" t="s">
        <v>37</v>
      </c>
      <c r="D157" s="11">
        <v>132.69999999999999</v>
      </c>
      <c r="E157" s="5">
        <v>140.6</v>
      </c>
      <c r="F157" s="5">
        <v>124.5</v>
      </c>
      <c r="G157" s="5">
        <v>136.30000000000001</v>
      </c>
      <c r="H157" s="5">
        <v>113.5</v>
      </c>
      <c r="I157" s="5">
        <v>137.69999999999999</v>
      </c>
      <c r="J157" s="5">
        <v>127.1</v>
      </c>
      <c r="K157" s="5">
        <v>133.80000000000001</v>
      </c>
      <c r="L157" s="5">
        <v>120.8</v>
      </c>
      <c r="M157" s="5">
        <v>141.30000000000001</v>
      </c>
      <c r="N157" s="5">
        <v>123.8</v>
      </c>
      <c r="O157" s="5">
        <v>142.6</v>
      </c>
      <c r="P157" s="5">
        <v>133.4</v>
      </c>
      <c r="Q157" s="5">
        <v>148</v>
      </c>
      <c r="R157" s="5">
        <v>131.19999999999999</v>
      </c>
      <c r="S157" s="5">
        <v>123</v>
      </c>
      <c r="T157" s="5">
        <v>130</v>
      </c>
      <c r="U157" s="5">
        <v>131.69999999999999</v>
      </c>
      <c r="V157" s="5">
        <v>121.4</v>
      </c>
      <c r="W157" s="5">
        <v>126</v>
      </c>
      <c r="X157" s="5">
        <v>123.4</v>
      </c>
      <c r="Y157" s="5">
        <v>114.3</v>
      </c>
      <c r="Z157" s="5">
        <v>122.6</v>
      </c>
      <c r="AA157" s="5">
        <v>133.6</v>
      </c>
      <c r="AB157" s="5">
        <v>122.2</v>
      </c>
      <c r="AC157" s="5">
        <v>122.5</v>
      </c>
      <c r="AD157" s="5">
        <v>129.1</v>
      </c>
    </row>
    <row r="158" spans="1:30" x14ac:dyDescent="0.35">
      <c r="A158" s="5" t="s">
        <v>34</v>
      </c>
      <c r="B158" s="5">
        <v>2017</v>
      </c>
      <c r="C158" s="5" t="s">
        <v>37</v>
      </c>
      <c r="D158" s="11">
        <v>133</v>
      </c>
      <c r="E158" s="5">
        <v>139.4</v>
      </c>
      <c r="F158" s="5">
        <v>126.1</v>
      </c>
      <c r="G158" s="5">
        <v>137.19999999999999</v>
      </c>
      <c r="H158" s="5">
        <v>118.4</v>
      </c>
      <c r="I158" s="5">
        <v>139.9</v>
      </c>
      <c r="J158" s="5">
        <v>123.4</v>
      </c>
      <c r="K158" s="5">
        <v>140.9</v>
      </c>
      <c r="L158" s="5">
        <v>118.5</v>
      </c>
      <c r="M158" s="5">
        <v>136.5</v>
      </c>
      <c r="N158" s="5">
        <v>127.4</v>
      </c>
      <c r="O158" s="5">
        <v>144.19999999999999</v>
      </c>
      <c r="P158" s="5">
        <v>133.5</v>
      </c>
      <c r="Q158" s="5">
        <v>145.4</v>
      </c>
      <c r="R158" s="5">
        <v>138</v>
      </c>
      <c r="S158" s="5">
        <v>131.1</v>
      </c>
      <c r="T158" s="5">
        <v>137</v>
      </c>
      <c r="U158" s="5">
        <v>131.69999999999999</v>
      </c>
      <c r="V158" s="5">
        <v>129.80000000000001</v>
      </c>
      <c r="W158" s="5">
        <v>130.4</v>
      </c>
      <c r="X158" s="5">
        <v>128.1</v>
      </c>
      <c r="Y158" s="5">
        <v>116.6</v>
      </c>
      <c r="Z158" s="5">
        <v>125.1</v>
      </c>
      <c r="AA158" s="5">
        <v>134.5</v>
      </c>
      <c r="AB158" s="5">
        <v>123.1</v>
      </c>
      <c r="AC158" s="5">
        <v>125.1</v>
      </c>
      <c r="AD158" s="5">
        <v>131.1</v>
      </c>
    </row>
    <row r="159" spans="1:30" x14ac:dyDescent="0.35">
      <c r="A159" s="5" t="s">
        <v>30</v>
      </c>
      <c r="B159" s="5">
        <v>2017</v>
      </c>
      <c r="C159" s="5" t="s">
        <v>38</v>
      </c>
      <c r="D159" s="11">
        <v>133.1</v>
      </c>
      <c r="E159" s="5">
        <v>140.30000000000001</v>
      </c>
      <c r="F159" s="5">
        <v>126.8</v>
      </c>
      <c r="G159" s="5">
        <v>138.19999999999999</v>
      </c>
      <c r="H159" s="5">
        <v>120.8</v>
      </c>
      <c r="I159" s="5">
        <v>140.19999999999999</v>
      </c>
      <c r="J159" s="5">
        <v>123.8</v>
      </c>
      <c r="K159" s="5">
        <v>141.80000000000001</v>
      </c>
      <c r="L159" s="5">
        <v>118.6</v>
      </c>
      <c r="M159" s="5">
        <v>134</v>
      </c>
      <c r="N159" s="5">
        <v>130.30000000000001</v>
      </c>
      <c r="O159" s="5">
        <v>145.80000000000001</v>
      </c>
      <c r="P159" s="5">
        <v>133.80000000000001</v>
      </c>
      <c r="Q159" s="5">
        <v>145.5</v>
      </c>
      <c r="R159" s="5">
        <v>142.5</v>
      </c>
      <c r="S159" s="5">
        <v>137.30000000000001</v>
      </c>
      <c r="T159" s="5">
        <v>141.80000000000001</v>
      </c>
      <c r="U159" s="5" t="s">
        <v>32</v>
      </c>
      <c r="V159" s="5">
        <v>135</v>
      </c>
      <c r="W159" s="5">
        <v>134.9</v>
      </c>
      <c r="X159" s="5">
        <v>131.4</v>
      </c>
      <c r="Y159" s="5">
        <v>119.4</v>
      </c>
      <c r="Z159" s="5">
        <v>129.4</v>
      </c>
      <c r="AA159" s="5">
        <v>136.30000000000001</v>
      </c>
      <c r="AB159" s="5">
        <v>123.7</v>
      </c>
      <c r="AC159" s="5">
        <v>127.9</v>
      </c>
      <c r="AD159" s="5">
        <v>133.30000000000001</v>
      </c>
    </row>
    <row r="160" spans="1:30" x14ac:dyDescent="0.35">
      <c r="A160" s="5" t="s">
        <v>33</v>
      </c>
      <c r="B160" s="5">
        <v>2017</v>
      </c>
      <c r="C160" s="5" t="s">
        <v>38</v>
      </c>
      <c r="D160" s="11">
        <v>132.6</v>
      </c>
      <c r="E160" s="5">
        <v>144.1</v>
      </c>
      <c r="F160" s="5">
        <v>125.6</v>
      </c>
      <c r="G160" s="5">
        <v>136.80000000000001</v>
      </c>
      <c r="H160" s="5">
        <v>113.4</v>
      </c>
      <c r="I160" s="5">
        <v>135.19999999999999</v>
      </c>
      <c r="J160" s="5">
        <v>129.19999999999999</v>
      </c>
      <c r="K160" s="5">
        <v>131.5</v>
      </c>
      <c r="L160" s="5">
        <v>121</v>
      </c>
      <c r="M160" s="5">
        <v>139.9</v>
      </c>
      <c r="N160" s="5">
        <v>123.8</v>
      </c>
      <c r="O160" s="5">
        <v>142.9</v>
      </c>
      <c r="P160" s="5">
        <v>133.6</v>
      </c>
      <c r="Q160" s="5">
        <v>148.30000000000001</v>
      </c>
      <c r="R160" s="5">
        <v>131.5</v>
      </c>
      <c r="S160" s="5">
        <v>123.2</v>
      </c>
      <c r="T160" s="5">
        <v>130.19999999999999</v>
      </c>
      <c r="U160" s="5">
        <v>132.1</v>
      </c>
      <c r="V160" s="5">
        <v>120.1</v>
      </c>
      <c r="W160" s="5">
        <v>126.5</v>
      </c>
      <c r="X160" s="5">
        <v>123.6</v>
      </c>
      <c r="Y160" s="5">
        <v>114.3</v>
      </c>
      <c r="Z160" s="5">
        <v>122.8</v>
      </c>
      <c r="AA160" s="5">
        <v>133.80000000000001</v>
      </c>
      <c r="AB160" s="5">
        <v>122</v>
      </c>
      <c r="AC160" s="5">
        <v>122.6</v>
      </c>
      <c r="AD160" s="5">
        <v>129.30000000000001</v>
      </c>
    </row>
    <row r="161" spans="1:31" x14ac:dyDescent="0.35">
      <c r="A161" s="5" t="s">
        <v>34</v>
      </c>
      <c r="B161" s="5">
        <v>2017</v>
      </c>
      <c r="C161" s="5" t="s">
        <v>38</v>
      </c>
      <c r="D161" s="11">
        <v>132.9</v>
      </c>
      <c r="E161" s="5">
        <v>141.6</v>
      </c>
      <c r="F161" s="5">
        <v>126.3</v>
      </c>
      <c r="G161" s="5">
        <v>137.69999999999999</v>
      </c>
      <c r="H161" s="5">
        <v>118.1</v>
      </c>
      <c r="I161" s="5">
        <v>137.9</v>
      </c>
      <c r="J161" s="5">
        <v>125.6</v>
      </c>
      <c r="K161" s="5">
        <v>138.30000000000001</v>
      </c>
      <c r="L161" s="5">
        <v>119.4</v>
      </c>
      <c r="M161" s="5">
        <v>136</v>
      </c>
      <c r="N161" s="5">
        <v>127.6</v>
      </c>
      <c r="O161" s="5">
        <v>144.5</v>
      </c>
      <c r="P161" s="5">
        <v>133.69999999999999</v>
      </c>
      <c r="Q161" s="5">
        <v>146.19999999999999</v>
      </c>
      <c r="R161" s="5">
        <v>138.19999999999999</v>
      </c>
      <c r="S161" s="5">
        <v>131.4</v>
      </c>
      <c r="T161" s="5">
        <v>137.19999999999999</v>
      </c>
      <c r="U161" s="5">
        <v>132.1</v>
      </c>
      <c r="V161" s="5">
        <v>129.4</v>
      </c>
      <c r="W161" s="5">
        <v>130.9</v>
      </c>
      <c r="X161" s="5">
        <v>128.4</v>
      </c>
      <c r="Y161" s="5">
        <v>116.7</v>
      </c>
      <c r="Z161" s="5">
        <v>125.7</v>
      </c>
      <c r="AA161" s="5">
        <v>134.80000000000001</v>
      </c>
      <c r="AB161" s="5">
        <v>123</v>
      </c>
      <c r="AC161" s="5">
        <v>125.3</v>
      </c>
      <c r="AD161" s="5">
        <v>131.4</v>
      </c>
    </row>
    <row r="162" spans="1:31" x14ac:dyDescent="0.35">
      <c r="A162" s="5" t="s">
        <v>30</v>
      </c>
      <c r="B162" s="5">
        <v>2017</v>
      </c>
      <c r="C162" s="5" t="s">
        <v>39</v>
      </c>
      <c r="D162" s="11">
        <v>133.5</v>
      </c>
      <c r="E162" s="5">
        <v>143.69999999999999</v>
      </c>
      <c r="F162" s="5">
        <v>128</v>
      </c>
      <c r="G162" s="5">
        <v>138.6</v>
      </c>
      <c r="H162" s="5">
        <v>120.9</v>
      </c>
      <c r="I162" s="5">
        <v>140.9</v>
      </c>
      <c r="J162" s="5">
        <v>128.80000000000001</v>
      </c>
      <c r="K162" s="5">
        <v>140.19999999999999</v>
      </c>
      <c r="L162" s="5">
        <v>118.9</v>
      </c>
      <c r="M162" s="5">
        <v>133.5</v>
      </c>
      <c r="N162" s="5">
        <v>130.4</v>
      </c>
      <c r="O162" s="5">
        <v>146.5</v>
      </c>
      <c r="P162" s="5">
        <v>134.9</v>
      </c>
      <c r="Q162" s="5">
        <v>145.80000000000001</v>
      </c>
      <c r="R162" s="5">
        <v>143.1</v>
      </c>
      <c r="S162" s="5">
        <v>137.69999999999999</v>
      </c>
      <c r="T162" s="5">
        <v>142.30000000000001</v>
      </c>
      <c r="U162" s="5" t="s">
        <v>32</v>
      </c>
      <c r="V162" s="5">
        <v>134.80000000000001</v>
      </c>
      <c r="W162" s="5">
        <v>135.19999999999999</v>
      </c>
      <c r="X162" s="5">
        <v>131.30000000000001</v>
      </c>
      <c r="Y162" s="5">
        <v>119.4</v>
      </c>
      <c r="Z162" s="5">
        <v>129.80000000000001</v>
      </c>
      <c r="AA162" s="5">
        <v>136.9</v>
      </c>
      <c r="AB162" s="5">
        <v>124.1</v>
      </c>
      <c r="AC162" s="5">
        <v>128.1</v>
      </c>
      <c r="AD162" s="5">
        <v>133.9</v>
      </c>
    </row>
    <row r="163" spans="1:31" x14ac:dyDescent="0.35">
      <c r="A163" s="5" t="s">
        <v>33</v>
      </c>
      <c r="B163" s="5">
        <v>2017</v>
      </c>
      <c r="C163" s="5" t="s">
        <v>39</v>
      </c>
      <c r="D163" s="11">
        <v>132.9</v>
      </c>
      <c r="E163" s="5">
        <v>148.69999999999999</v>
      </c>
      <c r="F163" s="5">
        <v>128.30000000000001</v>
      </c>
      <c r="G163" s="5">
        <v>137.30000000000001</v>
      </c>
      <c r="H163" s="5">
        <v>113.5</v>
      </c>
      <c r="I163" s="5">
        <v>137.19999999999999</v>
      </c>
      <c r="J163" s="5">
        <v>142.19999999999999</v>
      </c>
      <c r="K163" s="5">
        <v>128.19999999999999</v>
      </c>
      <c r="L163" s="5">
        <v>120.9</v>
      </c>
      <c r="M163" s="5">
        <v>138.80000000000001</v>
      </c>
      <c r="N163" s="5">
        <v>124.2</v>
      </c>
      <c r="O163" s="5">
        <v>143.1</v>
      </c>
      <c r="P163" s="5">
        <v>135.69999999999999</v>
      </c>
      <c r="Q163" s="5">
        <v>148.6</v>
      </c>
      <c r="R163" s="5">
        <v>131.5</v>
      </c>
      <c r="S163" s="5">
        <v>123.2</v>
      </c>
      <c r="T163" s="5">
        <v>130.19999999999999</v>
      </c>
      <c r="U163" s="5">
        <v>131.4</v>
      </c>
      <c r="V163" s="5">
        <v>119</v>
      </c>
      <c r="W163" s="5">
        <v>126.8</v>
      </c>
      <c r="X163" s="5">
        <v>123.8</v>
      </c>
      <c r="Y163" s="5">
        <v>113.9</v>
      </c>
      <c r="Z163" s="5">
        <v>122.9</v>
      </c>
      <c r="AA163" s="5">
        <v>134.30000000000001</v>
      </c>
      <c r="AB163" s="5">
        <v>122.5</v>
      </c>
      <c r="AC163" s="5">
        <v>122.7</v>
      </c>
      <c r="AD163" s="5">
        <v>129.9</v>
      </c>
    </row>
    <row r="164" spans="1:31" x14ac:dyDescent="0.35">
      <c r="A164" s="5" t="s">
        <v>34</v>
      </c>
      <c r="B164" s="5">
        <v>2017</v>
      </c>
      <c r="C164" s="5" t="s">
        <v>39</v>
      </c>
      <c r="D164" s="11">
        <v>133.30000000000001</v>
      </c>
      <c r="E164" s="5">
        <v>145.5</v>
      </c>
      <c r="F164" s="5">
        <v>128.1</v>
      </c>
      <c r="G164" s="5">
        <v>138.1</v>
      </c>
      <c r="H164" s="5">
        <v>118.2</v>
      </c>
      <c r="I164" s="5">
        <v>139.19999999999999</v>
      </c>
      <c r="J164" s="5">
        <v>133.30000000000001</v>
      </c>
      <c r="K164" s="5">
        <v>136.19999999999999</v>
      </c>
      <c r="L164" s="5">
        <v>119.6</v>
      </c>
      <c r="M164" s="5">
        <v>135.30000000000001</v>
      </c>
      <c r="N164" s="5">
        <v>127.8</v>
      </c>
      <c r="O164" s="5">
        <v>144.9</v>
      </c>
      <c r="P164" s="5">
        <v>135.19999999999999</v>
      </c>
      <c r="Q164" s="5">
        <v>146.5</v>
      </c>
      <c r="R164" s="5">
        <v>138.5</v>
      </c>
      <c r="S164" s="5">
        <v>131.69999999999999</v>
      </c>
      <c r="T164" s="5">
        <v>137.5</v>
      </c>
      <c r="U164" s="5">
        <v>131.4</v>
      </c>
      <c r="V164" s="5">
        <v>128.80000000000001</v>
      </c>
      <c r="W164" s="5">
        <v>131.19999999999999</v>
      </c>
      <c r="X164" s="5">
        <v>128.5</v>
      </c>
      <c r="Y164" s="5">
        <v>116.5</v>
      </c>
      <c r="Z164" s="5">
        <v>125.9</v>
      </c>
      <c r="AA164" s="5">
        <v>135.4</v>
      </c>
      <c r="AB164" s="5">
        <v>123.4</v>
      </c>
      <c r="AC164" s="5">
        <v>125.5</v>
      </c>
      <c r="AD164" s="11">
        <v>132</v>
      </c>
      <c r="AE164" s="3"/>
    </row>
    <row r="165" spans="1:31" x14ac:dyDescent="0.35">
      <c r="A165" s="5" t="s">
        <v>30</v>
      </c>
      <c r="B165" s="5">
        <v>2017</v>
      </c>
      <c r="C165" s="5" t="s">
        <v>40</v>
      </c>
      <c r="D165" s="11">
        <v>134</v>
      </c>
      <c r="E165" s="5">
        <v>144.19999999999999</v>
      </c>
      <c r="F165" s="5">
        <v>129.80000000000001</v>
      </c>
      <c r="G165" s="5">
        <v>139</v>
      </c>
      <c r="H165" s="5">
        <v>120.9</v>
      </c>
      <c r="I165" s="5">
        <v>143.9</v>
      </c>
      <c r="J165" s="5">
        <v>151.5</v>
      </c>
      <c r="K165" s="5">
        <v>138.1</v>
      </c>
      <c r="L165" s="5">
        <v>120</v>
      </c>
      <c r="M165" s="5">
        <v>133.9</v>
      </c>
      <c r="N165" s="5">
        <v>131.4</v>
      </c>
      <c r="O165" s="5">
        <v>147.69999999999999</v>
      </c>
      <c r="P165" s="5">
        <v>138.5</v>
      </c>
      <c r="Q165" s="5">
        <v>147.4</v>
      </c>
      <c r="R165" s="5">
        <v>144.30000000000001</v>
      </c>
      <c r="S165" s="5">
        <v>138.1</v>
      </c>
      <c r="T165" s="5">
        <v>143.5</v>
      </c>
      <c r="U165" s="5" t="s">
        <v>32</v>
      </c>
      <c r="V165" s="5">
        <v>135.30000000000001</v>
      </c>
      <c r="W165" s="5">
        <v>136.1</v>
      </c>
      <c r="X165" s="5">
        <v>132.1</v>
      </c>
      <c r="Y165" s="5">
        <v>119.1</v>
      </c>
      <c r="Z165" s="5">
        <v>130.6</v>
      </c>
      <c r="AA165" s="5">
        <v>138.6</v>
      </c>
      <c r="AB165" s="5">
        <v>124.4</v>
      </c>
      <c r="AC165" s="5">
        <v>128.6</v>
      </c>
      <c r="AD165" s="5">
        <v>136.19999999999999</v>
      </c>
    </row>
    <row r="166" spans="1:31" x14ac:dyDescent="0.35">
      <c r="A166" s="5" t="s">
        <v>33</v>
      </c>
      <c r="B166" s="5">
        <v>2017</v>
      </c>
      <c r="C166" s="5" t="s">
        <v>40</v>
      </c>
      <c r="D166" s="11">
        <v>132.80000000000001</v>
      </c>
      <c r="E166" s="5">
        <v>148.4</v>
      </c>
      <c r="F166" s="5">
        <v>129.4</v>
      </c>
      <c r="G166" s="5">
        <v>137.69999999999999</v>
      </c>
      <c r="H166" s="5">
        <v>113.4</v>
      </c>
      <c r="I166" s="5">
        <v>139.4</v>
      </c>
      <c r="J166" s="5">
        <v>175.1</v>
      </c>
      <c r="K166" s="5">
        <v>124.7</v>
      </c>
      <c r="L166" s="5">
        <v>121.5</v>
      </c>
      <c r="M166" s="5">
        <v>137.80000000000001</v>
      </c>
      <c r="N166" s="5">
        <v>124.4</v>
      </c>
      <c r="O166" s="5">
        <v>143.69999999999999</v>
      </c>
      <c r="P166" s="5">
        <v>139.80000000000001</v>
      </c>
      <c r="Q166" s="5">
        <v>150.5</v>
      </c>
      <c r="R166" s="5">
        <v>131.6</v>
      </c>
      <c r="S166" s="5">
        <v>123.7</v>
      </c>
      <c r="T166" s="5">
        <v>130.4</v>
      </c>
      <c r="U166" s="5">
        <v>132.6</v>
      </c>
      <c r="V166" s="5">
        <v>119.7</v>
      </c>
      <c r="W166" s="5">
        <v>127.2</v>
      </c>
      <c r="X166" s="5">
        <v>125</v>
      </c>
      <c r="Y166" s="5">
        <v>113.2</v>
      </c>
      <c r="Z166" s="5">
        <v>123.5</v>
      </c>
      <c r="AA166" s="5">
        <v>135.5</v>
      </c>
      <c r="AB166" s="5">
        <v>122.4</v>
      </c>
      <c r="AC166" s="5">
        <v>123</v>
      </c>
      <c r="AD166" s="5">
        <v>131.80000000000001</v>
      </c>
    </row>
    <row r="167" spans="1:31" x14ac:dyDescent="0.35">
      <c r="A167" s="5" t="s">
        <v>34</v>
      </c>
      <c r="B167" s="5">
        <v>2017</v>
      </c>
      <c r="C167" s="5" t="s">
        <v>40</v>
      </c>
      <c r="D167" s="11">
        <v>133.6</v>
      </c>
      <c r="E167" s="5">
        <v>145.69999999999999</v>
      </c>
      <c r="F167" s="5">
        <v>129.6</v>
      </c>
      <c r="G167" s="5">
        <v>138.5</v>
      </c>
      <c r="H167" s="5">
        <v>118.1</v>
      </c>
      <c r="I167" s="5">
        <v>141.80000000000001</v>
      </c>
      <c r="J167" s="5">
        <v>159.5</v>
      </c>
      <c r="K167" s="5">
        <v>133.6</v>
      </c>
      <c r="L167" s="5">
        <v>120.5</v>
      </c>
      <c r="M167" s="5">
        <v>135.19999999999999</v>
      </c>
      <c r="N167" s="5">
        <v>128.5</v>
      </c>
      <c r="O167" s="5">
        <v>145.80000000000001</v>
      </c>
      <c r="P167" s="5">
        <v>139</v>
      </c>
      <c r="Q167" s="5">
        <v>148.19999999999999</v>
      </c>
      <c r="R167" s="5">
        <v>139.30000000000001</v>
      </c>
      <c r="S167" s="5">
        <v>132.1</v>
      </c>
      <c r="T167" s="5">
        <v>138.30000000000001</v>
      </c>
      <c r="U167" s="5">
        <v>132.6</v>
      </c>
      <c r="V167" s="5">
        <v>129.4</v>
      </c>
      <c r="W167" s="5">
        <v>131.9</v>
      </c>
      <c r="X167" s="5">
        <v>129.4</v>
      </c>
      <c r="Y167" s="5">
        <v>116</v>
      </c>
      <c r="Z167" s="5">
        <v>126.6</v>
      </c>
      <c r="AA167" s="5">
        <v>136.80000000000001</v>
      </c>
      <c r="AB167" s="5">
        <v>123.6</v>
      </c>
      <c r="AC167" s="5">
        <v>125.9</v>
      </c>
      <c r="AD167" s="5">
        <v>134.19999999999999</v>
      </c>
    </row>
    <row r="168" spans="1:31" x14ac:dyDescent="0.35">
      <c r="A168" s="5" t="s">
        <v>30</v>
      </c>
      <c r="B168" s="5">
        <v>2017</v>
      </c>
      <c r="C168" s="5" t="s">
        <v>41</v>
      </c>
      <c r="D168" s="11">
        <v>134.80000000000001</v>
      </c>
      <c r="E168" s="5">
        <v>143.1</v>
      </c>
      <c r="F168" s="5">
        <v>130</v>
      </c>
      <c r="G168" s="5">
        <v>139.4</v>
      </c>
      <c r="H168" s="5">
        <v>120.5</v>
      </c>
      <c r="I168" s="5">
        <v>148</v>
      </c>
      <c r="J168" s="5">
        <v>162.9</v>
      </c>
      <c r="K168" s="5">
        <v>137.4</v>
      </c>
      <c r="L168" s="5">
        <v>120.8</v>
      </c>
      <c r="M168" s="5">
        <v>134.69999999999999</v>
      </c>
      <c r="N168" s="5">
        <v>131.6</v>
      </c>
      <c r="O168" s="5">
        <v>148.69999999999999</v>
      </c>
      <c r="P168" s="5">
        <v>140.6</v>
      </c>
      <c r="Q168" s="5">
        <v>149</v>
      </c>
      <c r="R168" s="5">
        <v>145.30000000000001</v>
      </c>
      <c r="S168" s="5">
        <v>139.19999999999999</v>
      </c>
      <c r="T168" s="5">
        <v>144.5</v>
      </c>
      <c r="U168" s="5" t="s">
        <v>32</v>
      </c>
      <c r="V168" s="5">
        <v>136.4</v>
      </c>
      <c r="W168" s="5">
        <v>137.30000000000001</v>
      </c>
      <c r="X168" s="5">
        <v>133</v>
      </c>
      <c r="Y168" s="5">
        <v>120.3</v>
      </c>
      <c r="Z168" s="5">
        <v>131.5</v>
      </c>
      <c r="AA168" s="5">
        <v>140.19999999999999</v>
      </c>
      <c r="AB168" s="5">
        <v>125.4</v>
      </c>
      <c r="AC168" s="5">
        <v>129.69999999999999</v>
      </c>
      <c r="AD168" s="5">
        <v>137.80000000000001</v>
      </c>
    </row>
    <row r="169" spans="1:31" x14ac:dyDescent="0.35">
      <c r="A169" s="5" t="s">
        <v>33</v>
      </c>
      <c r="B169" s="5">
        <v>2017</v>
      </c>
      <c r="C169" s="5" t="s">
        <v>41</v>
      </c>
      <c r="D169" s="11">
        <v>133.19999999999999</v>
      </c>
      <c r="E169" s="5">
        <v>143.9</v>
      </c>
      <c r="F169" s="5">
        <v>128.30000000000001</v>
      </c>
      <c r="G169" s="5">
        <v>138.30000000000001</v>
      </c>
      <c r="H169" s="5">
        <v>114.1</v>
      </c>
      <c r="I169" s="5">
        <v>142.69999999999999</v>
      </c>
      <c r="J169" s="5">
        <v>179.8</v>
      </c>
      <c r="K169" s="5">
        <v>123.5</v>
      </c>
      <c r="L169" s="5">
        <v>122.1</v>
      </c>
      <c r="M169" s="5">
        <v>137.5</v>
      </c>
      <c r="N169" s="5">
        <v>124.6</v>
      </c>
      <c r="O169" s="5">
        <v>144.5</v>
      </c>
      <c r="P169" s="5">
        <v>140.5</v>
      </c>
      <c r="Q169" s="5">
        <v>152.1</v>
      </c>
      <c r="R169" s="5">
        <v>132.69999999999999</v>
      </c>
      <c r="S169" s="5">
        <v>124.3</v>
      </c>
      <c r="T169" s="5">
        <v>131.4</v>
      </c>
      <c r="U169" s="5">
        <v>134.4</v>
      </c>
      <c r="V169" s="5">
        <v>118.9</v>
      </c>
      <c r="W169" s="5">
        <v>127.7</v>
      </c>
      <c r="X169" s="5">
        <v>125.7</v>
      </c>
      <c r="Y169" s="5">
        <v>114.6</v>
      </c>
      <c r="Z169" s="5">
        <v>124.1</v>
      </c>
      <c r="AA169" s="5">
        <v>135.69999999999999</v>
      </c>
      <c r="AB169" s="5">
        <v>123.3</v>
      </c>
      <c r="AC169" s="5">
        <v>123.8</v>
      </c>
      <c r="AD169" s="5">
        <v>132.69999999999999</v>
      </c>
    </row>
    <row r="170" spans="1:31" x14ac:dyDescent="0.35">
      <c r="A170" s="5" t="s">
        <v>34</v>
      </c>
      <c r="B170" s="5">
        <v>2017</v>
      </c>
      <c r="C170" s="5" t="s">
        <v>41</v>
      </c>
      <c r="D170" s="11">
        <v>134.30000000000001</v>
      </c>
      <c r="E170" s="5">
        <v>143.4</v>
      </c>
      <c r="F170" s="5">
        <v>129.30000000000001</v>
      </c>
      <c r="G170" s="5">
        <v>139</v>
      </c>
      <c r="H170" s="5">
        <v>118.1</v>
      </c>
      <c r="I170" s="5">
        <v>145.5</v>
      </c>
      <c r="J170" s="5">
        <v>168.6</v>
      </c>
      <c r="K170" s="5">
        <v>132.69999999999999</v>
      </c>
      <c r="L170" s="5">
        <v>121.2</v>
      </c>
      <c r="M170" s="5">
        <v>135.6</v>
      </c>
      <c r="N170" s="5">
        <v>128.69999999999999</v>
      </c>
      <c r="O170" s="5">
        <v>146.80000000000001</v>
      </c>
      <c r="P170" s="5">
        <v>140.6</v>
      </c>
      <c r="Q170" s="5">
        <v>149.80000000000001</v>
      </c>
      <c r="R170" s="5">
        <v>140.30000000000001</v>
      </c>
      <c r="S170" s="5">
        <v>133</v>
      </c>
      <c r="T170" s="5">
        <v>139.30000000000001</v>
      </c>
      <c r="U170" s="5">
        <v>134.4</v>
      </c>
      <c r="V170" s="5">
        <v>129.80000000000001</v>
      </c>
      <c r="W170" s="5">
        <v>132.80000000000001</v>
      </c>
      <c r="X170" s="5">
        <v>130.19999999999999</v>
      </c>
      <c r="Y170" s="5">
        <v>117.3</v>
      </c>
      <c r="Z170" s="5">
        <v>127.3</v>
      </c>
      <c r="AA170" s="5">
        <v>137.6</v>
      </c>
      <c r="AB170" s="5">
        <v>124.5</v>
      </c>
      <c r="AC170" s="5">
        <v>126.8</v>
      </c>
      <c r="AD170" s="5">
        <v>135.4</v>
      </c>
    </row>
    <row r="171" spans="1:31" x14ac:dyDescent="0.35">
      <c r="A171" s="5" t="s">
        <v>30</v>
      </c>
      <c r="B171" s="5">
        <v>2017</v>
      </c>
      <c r="C171" s="5" t="s">
        <v>42</v>
      </c>
      <c r="D171" s="11">
        <v>135.19999999999999</v>
      </c>
      <c r="E171" s="5">
        <v>142</v>
      </c>
      <c r="F171" s="5">
        <v>130.5</v>
      </c>
      <c r="G171" s="5">
        <v>140.19999999999999</v>
      </c>
      <c r="H171" s="5">
        <v>120.7</v>
      </c>
      <c r="I171" s="5">
        <v>147.80000000000001</v>
      </c>
      <c r="J171" s="5">
        <v>154.5</v>
      </c>
      <c r="K171" s="5">
        <v>137.1</v>
      </c>
      <c r="L171" s="5">
        <v>121</v>
      </c>
      <c r="M171" s="5">
        <v>134.69999999999999</v>
      </c>
      <c r="N171" s="5">
        <v>131.69999999999999</v>
      </c>
      <c r="O171" s="5">
        <v>149.30000000000001</v>
      </c>
      <c r="P171" s="5">
        <v>139.6</v>
      </c>
      <c r="Q171" s="5">
        <v>149.80000000000001</v>
      </c>
      <c r="R171" s="5">
        <v>146.1</v>
      </c>
      <c r="S171" s="5">
        <v>139.69999999999999</v>
      </c>
      <c r="T171" s="5">
        <v>145.19999999999999</v>
      </c>
      <c r="U171" s="5" t="s">
        <v>32</v>
      </c>
      <c r="V171" s="5">
        <v>137.4</v>
      </c>
      <c r="W171" s="5">
        <v>137.9</v>
      </c>
      <c r="X171" s="5">
        <v>133.4</v>
      </c>
      <c r="Y171" s="5">
        <v>121.2</v>
      </c>
      <c r="Z171" s="5">
        <v>132.30000000000001</v>
      </c>
      <c r="AA171" s="5">
        <v>139.6</v>
      </c>
      <c r="AB171" s="5">
        <v>126.7</v>
      </c>
      <c r="AC171" s="5">
        <v>130.30000000000001</v>
      </c>
      <c r="AD171" s="5">
        <v>137.6</v>
      </c>
    </row>
    <row r="172" spans="1:31" x14ac:dyDescent="0.35">
      <c r="A172" s="5" t="s">
        <v>33</v>
      </c>
      <c r="B172" s="5">
        <v>2017</v>
      </c>
      <c r="C172" s="5" t="s">
        <v>42</v>
      </c>
      <c r="D172" s="11">
        <v>133.6</v>
      </c>
      <c r="E172" s="5">
        <v>143</v>
      </c>
      <c r="F172" s="5">
        <v>129.69999999999999</v>
      </c>
      <c r="G172" s="5">
        <v>138.69999999999999</v>
      </c>
      <c r="H172" s="5">
        <v>114.5</v>
      </c>
      <c r="I172" s="5">
        <v>137.5</v>
      </c>
      <c r="J172" s="5">
        <v>160.69999999999999</v>
      </c>
      <c r="K172" s="5">
        <v>124.5</v>
      </c>
      <c r="L172" s="5">
        <v>122.4</v>
      </c>
      <c r="M172" s="5">
        <v>137.30000000000001</v>
      </c>
      <c r="N172" s="5">
        <v>124.8</v>
      </c>
      <c r="O172" s="5">
        <v>145</v>
      </c>
      <c r="P172" s="5">
        <v>138</v>
      </c>
      <c r="Q172" s="5">
        <v>153.6</v>
      </c>
      <c r="R172" s="5">
        <v>133.30000000000001</v>
      </c>
      <c r="S172" s="5">
        <v>124.6</v>
      </c>
      <c r="T172" s="5">
        <v>132</v>
      </c>
      <c r="U172" s="5">
        <v>135.69999999999999</v>
      </c>
      <c r="V172" s="5">
        <v>120.6</v>
      </c>
      <c r="W172" s="5">
        <v>128.1</v>
      </c>
      <c r="X172" s="5">
        <v>126.1</v>
      </c>
      <c r="Y172" s="5">
        <v>115.7</v>
      </c>
      <c r="Z172" s="5">
        <v>124.5</v>
      </c>
      <c r="AA172" s="5">
        <v>135.9</v>
      </c>
      <c r="AB172" s="5">
        <v>124.4</v>
      </c>
      <c r="AC172" s="5">
        <v>124.5</v>
      </c>
      <c r="AD172" s="5">
        <v>132.4</v>
      </c>
    </row>
    <row r="173" spans="1:31" x14ac:dyDescent="0.35">
      <c r="A173" s="5" t="s">
        <v>34</v>
      </c>
      <c r="B173" s="5">
        <v>2017</v>
      </c>
      <c r="C173" s="5" t="s">
        <v>42</v>
      </c>
      <c r="D173" s="11">
        <v>134.69999999999999</v>
      </c>
      <c r="E173" s="5">
        <v>142.4</v>
      </c>
      <c r="F173" s="5">
        <v>130.19999999999999</v>
      </c>
      <c r="G173" s="5">
        <v>139.6</v>
      </c>
      <c r="H173" s="5">
        <v>118.4</v>
      </c>
      <c r="I173" s="5">
        <v>143</v>
      </c>
      <c r="J173" s="5">
        <v>156.6</v>
      </c>
      <c r="K173" s="5">
        <v>132.9</v>
      </c>
      <c r="L173" s="5">
        <v>121.5</v>
      </c>
      <c r="M173" s="5">
        <v>135.6</v>
      </c>
      <c r="N173" s="5">
        <v>128.80000000000001</v>
      </c>
      <c r="O173" s="5">
        <v>147.30000000000001</v>
      </c>
      <c r="P173" s="5">
        <v>139</v>
      </c>
      <c r="Q173" s="5">
        <v>150.80000000000001</v>
      </c>
      <c r="R173" s="5">
        <v>141.1</v>
      </c>
      <c r="S173" s="5">
        <v>133.4</v>
      </c>
      <c r="T173" s="5">
        <v>140</v>
      </c>
      <c r="U173" s="5">
        <v>135.69999999999999</v>
      </c>
      <c r="V173" s="5">
        <v>131</v>
      </c>
      <c r="W173" s="5">
        <v>133.30000000000001</v>
      </c>
      <c r="X173" s="5">
        <v>130.6</v>
      </c>
      <c r="Y173" s="5">
        <v>118.3</v>
      </c>
      <c r="Z173" s="5">
        <v>127.9</v>
      </c>
      <c r="AA173" s="5">
        <v>137.4</v>
      </c>
      <c r="AB173" s="5">
        <v>125.7</v>
      </c>
      <c r="AC173" s="5">
        <v>127.5</v>
      </c>
      <c r="AD173" s="5">
        <v>135.19999999999999</v>
      </c>
    </row>
    <row r="174" spans="1:31" x14ac:dyDescent="0.35">
      <c r="A174" s="5" t="s">
        <v>30</v>
      </c>
      <c r="B174" s="5">
        <v>2017</v>
      </c>
      <c r="C174" s="5" t="s">
        <v>43</v>
      </c>
      <c r="D174" s="11">
        <v>135.9</v>
      </c>
      <c r="E174" s="5">
        <v>141.9</v>
      </c>
      <c r="F174" s="5">
        <v>131</v>
      </c>
      <c r="G174" s="5">
        <v>141.5</v>
      </c>
      <c r="H174" s="5">
        <v>121.4</v>
      </c>
      <c r="I174" s="5">
        <v>146.69999999999999</v>
      </c>
      <c r="J174" s="5">
        <v>157.1</v>
      </c>
      <c r="K174" s="5">
        <v>136.4</v>
      </c>
      <c r="L174" s="5">
        <v>121.4</v>
      </c>
      <c r="M174" s="5">
        <v>135.6</v>
      </c>
      <c r="N174" s="5">
        <v>131.30000000000001</v>
      </c>
      <c r="O174" s="5">
        <v>150.30000000000001</v>
      </c>
      <c r="P174" s="5">
        <v>140.4</v>
      </c>
      <c r="Q174" s="5">
        <v>150.5</v>
      </c>
      <c r="R174" s="5">
        <v>147.19999999999999</v>
      </c>
      <c r="S174" s="5">
        <v>140.6</v>
      </c>
      <c r="T174" s="5">
        <v>146.19999999999999</v>
      </c>
      <c r="U174" s="5" t="s">
        <v>32</v>
      </c>
      <c r="V174" s="5">
        <v>138.1</v>
      </c>
      <c r="W174" s="5">
        <v>138.4</v>
      </c>
      <c r="X174" s="5">
        <v>134.19999999999999</v>
      </c>
      <c r="Y174" s="5">
        <v>121</v>
      </c>
      <c r="Z174" s="5">
        <v>133</v>
      </c>
      <c r="AA174" s="5">
        <v>140.1</v>
      </c>
      <c r="AB174" s="5">
        <v>127.4</v>
      </c>
      <c r="AC174" s="5">
        <v>130.69999999999999</v>
      </c>
      <c r="AD174" s="5">
        <v>138.30000000000001</v>
      </c>
    </row>
    <row r="175" spans="1:31" x14ac:dyDescent="0.35">
      <c r="A175" s="5" t="s">
        <v>33</v>
      </c>
      <c r="B175" s="5">
        <v>2017</v>
      </c>
      <c r="C175" s="5" t="s">
        <v>43</v>
      </c>
      <c r="D175" s="11">
        <v>133.9</v>
      </c>
      <c r="E175" s="5">
        <v>142.80000000000001</v>
      </c>
      <c r="F175" s="5">
        <v>131.4</v>
      </c>
      <c r="G175" s="5">
        <v>139.1</v>
      </c>
      <c r="H175" s="5">
        <v>114.9</v>
      </c>
      <c r="I175" s="5">
        <v>135.6</v>
      </c>
      <c r="J175" s="5">
        <v>173.2</v>
      </c>
      <c r="K175" s="5">
        <v>124.1</v>
      </c>
      <c r="L175" s="5">
        <v>122.6</v>
      </c>
      <c r="M175" s="5">
        <v>137.80000000000001</v>
      </c>
      <c r="N175" s="5">
        <v>125.1</v>
      </c>
      <c r="O175" s="5">
        <v>145.5</v>
      </c>
      <c r="P175" s="5">
        <v>139.69999999999999</v>
      </c>
      <c r="Q175" s="5">
        <v>154.6</v>
      </c>
      <c r="R175" s="5">
        <v>134</v>
      </c>
      <c r="S175" s="5">
        <v>124.9</v>
      </c>
      <c r="T175" s="5">
        <v>132.6</v>
      </c>
      <c r="U175" s="5">
        <v>137.30000000000001</v>
      </c>
      <c r="V175" s="5">
        <v>122.6</v>
      </c>
      <c r="W175" s="5">
        <v>128.30000000000001</v>
      </c>
      <c r="X175" s="5">
        <v>126.6</v>
      </c>
      <c r="Y175" s="5">
        <v>115</v>
      </c>
      <c r="Z175" s="5">
        <v>124.8</v>
      </c>
      <c r="AA175" s="5">
        <v>136.30000000000001</v>
      </c>
      <c r="AB175" s="5">
        <v>124.6</v>
      </c>
      <c r="AC175" s="5">
        <v>124.5</v>
      </c>
      <c r="AD175" s="5">
        <v>133.5</v>
      </c>
    </row>
    <row r="176" spans="1:31" x14ac:dyDescent="0.35">
      <c r="A176" s="5" t="s">
        <v>34</v>
      </c>
      <c r="B176" s="5">
        <v>2017</v>
      </c>
      <c r="C176" s="5" t="s">
        <v>43</v>
      </c>
      <c r="D176" s="11">
        <v>135.30000000000001</v>
      </c>
      <c r="E176" s="5">
        <v>142.19999999999999</v>
      </c>
      <c r="F176" s="5">
        <v>131.19999999999999</v>
      </c>
      <c r="G176" s="5">
        <v>140.6</v>
      </c>
      <c r="H176" s="5">
        <v>119</v>
      </c>
      <c r="I176" s="5">
        <v>141.5</v>
      </c>
      <c r="J176" s="5">
        <v>162.6</v>
      </c>
      <c r="K176" s="5">
        <v>132.30000000000001</v>
      </c>
      <c r="L176" s="5">
        <v>121.8</v>
      </c>
      <c r="M176" s="5">
        <v>136.30000000000001</v>
      </c>
      <c r="N176" s="5">
        <v>128.69999999999999</v>
      </c>
      <c r="O176" s="5">
        <v>148.1</v>
      </c>
      <c r="P176" s="5">
        <v>140.1</v>
      </c>
      <c r="Q176" s="5">
        <v>151.6</v>
      </c>
      <c r="R176" s="5">
        <v>142</v>
      </c>
      <c r="S176" s="5">
        <v>134.1</v>
      </c>
      <c r="T176" s="5">
        <v>140.80000000000001</v>
      </c>
      <c r="U176" s="5">
        <v>137.30000000000001</v>
      </c>
      <c r="V176" s="5">
        <v>132.19999999999999</v>
      </c>
      <c r="W176" s="5">
        <v>133.6</v>
      </c>
      <c r="X176" s="5">
        <v>131.30000000000001</v>
      </c>
      <c r="Y176" s="5">
        <v>117.8</v>
      </c>
      <c r="Z176" s="5">
        <v>128.4</v>
      </c>
      <c r="AA176" s="5">
        <v>137.9</v>
      </c>
      <c r="AB176" s="5">
        <v>126.2</v>
      </c>
      <c r="AC176" s="5">
        <v>127.7</v>
      </c>
      <c r="AD176" s="5">
        <v>136.1</v>
      </c>
    </row>
    <row r="177" spans="1:30" x14ac:dyDescent="0.35">
      <c r="A177" s="5" t="s">
        <v>30</v>
      </c>
      <c r="B177" s="5">
        <v>2017</v>
      </c>
      <c r="C177" s="5" t="s">
        <v>45</v>
      </c>
      <c r="D177" s="11">
        <v>136.30000000000001</v>
      </c>
      <c r="E177" s="5">
        <v>142.5</v>
      </c>
      <c r="F177" s="5">
        <v>140.5</v>
      </c>
      <c r="G177" s="5">
        <v>141.5</v>
      </c>
      <c r="H177" s="5">
        <v>121.6</v>
      </c>
      <c r="I177" s="5">
        <v>147.30000000000001</v>
      </c>
      <c r="J177" s="5">
        <v>168</v>
      </c>
      <c r="K177" s="5">
        <v>135.80000000000001</v>
      </c>
      <c r="L177" s="5">
        <v>122.5</v>
      </c>
      <c r="M177" s="5">
        <v>136</v>
      </c>
      <c r="N177" s="5">
        <v>131.9</v>
      </c>
      <c r="O177" s="5">
        <v>151.4</v>
      </c>
      <c r="P177" s="5">
        <v>142.4</v>
      </c>
      <c r="Q177" s="5">
        <v>152.1</v>
      </c>
      <c r="R177" s="5">
        <v>148.19999999999999</v>
      </c>
      <c r="S177" s="5">
        <v>141.5</v>
      </c>
      <c r="T177" s="5">
        <v>147.30000000000001</v>
      </c>
      <c r="U177" s="5" t="s">
        <v>32</v>
      </c>
      <c r="V177" s="5">
        <v>141.1</v>
      </c>
      <c r="W177" s="5">
        <v>139.4</v>
      </c>
      <c r="X177" s="5">
        <v>135.80000000000001</v>
      </c>
      <c r="Y177" s="5">
        <v>121.6</v>
      </c>
      <c r="Z177" s="5">
        <v>133.69999999999999</v>
      </c>
      <c r="AA177" s="5">
        <v>141.5</v>
      </c>
      <c r="AB177" s="5">
        <v>128.1</v>
      </c>
      <c r="AC177" s="5">
        <v>131.69999999999999</v>
      </c>
      <c r="AD177" s="5">
        <v>140</v>
      </c>
    </row>
    <row r="178" spans="1:30" x14ac:dyDescent="0.35">
      <c r="A178" s="5" t="s">
        <v>33</v>
      </c>
      <c r="B178" s="5">
        <v>2017</v>
      </c>
      <c r="C178" s="5" t="s">
        <v>45</v>
      </c>
      <c r="D178" s="11">
        <v>134.30000000000001</v>
      </c>
      <c r="E178" s="5">
        <v>142.1</v>
      </c>
      <c r="F178" s="5">
        <v>146.69999999999999</v>
      </c>
      <c r="G178" s="5">
        <v>139.5</v>
      </c>
      <c r="H178" s="5">
        <v>115.2</v>
      </c>
      <c r="I178" s="5">
        <v>136.4</v>
      </c>
      <c r="J178" s="5">
        <v>185.2</v>
      </c>
      <c r="K178" s="5">
        <v>122.2</v>
      </c>
      <c r="L178" s="5">
        <v>123.9</v>
      </c>
      <c r="M178" s="5">
        <v>138.30000000000001</v>
      </c>
      <c r="N178" s="5">
        <v>125.4</v>
      </c>
      <c r="O178" s="5">
        <v>146</v>
      </c>
      <c r="P178" s="5">
        <v>141.5</v>
      </c>
      <c r="Q178" s="5">
        <v>156.19999999999999</v>
      </c>
      <c r="R178" s="5">
        <v>135</v>
      </c>
      <c r="S178" s="5">
        <v>125.4</v>
      </c>
      <c r="T178" s="5">
        <v>133.5</v>
      </c>
      <c r="U178" s="5">
        <v>138.6</v>
      </c>
      <c r="V178" s="5">
        <v>125.7</v>
      </c>
      <c r="W178" s="5">
        <v>128.80000000000001</v>
      </c>
      <c r="X178" s="5">
        <v>127.4</v>
      </c>
      <c r="Y178" s="5">
        <v>115.3</v>
      </c>
      <c r="Z178" s="5">
        <v>125.1</v>
      </c>
      <c r="AA178" s="5">
        <v>136.6</v>
      </c>
      <c r="AB178" s="5">
        <v>124.9</v>
      </c>
      <c r="AC178" s="5">
        <v>124.9</v>
      </c>
      <c r="AD178" s="5">
        <v>134.80000000000001</v>
      </c>
    </row>
    <row r="179" spans="1:30" x14ac:dyDescent="0.35">
      <c r="A179" s="5" t="s">
        <v>34</v>
      </c>
      <c r="B179" s="5">
        <v>2017</v>
      </c>
      <c r="C179" s="5" t="s">
        <v>45</v>
      </c>
      <c r="D179" s="11">
        <v>135.69999999999999</v>
      </c>
      <c r="E179" s="5">
        <v>142.4</v>
      </c>
      <c r="F179" s="5">
        <v>142.9</v>
      </c>
      <c r="G179" s="5">
        <v>140.80000000000001</v>
      </c>
      <c r="H179" s="5">
        <v>119.2</v>
      </c>
      <c r="I179" s="5">
        <v>142.19999999999999</v>
      </c>
      <c r="J179" s="5">
        <v>173.8</v>
      </c>
      <c r="K179" s="5">
        <v>131.19999999999999</v>
      </c>
      <c r="L179" s="5">
        <v>123</v>
      </c>
      <c r="M179" s="5">
        <v>136.80000000000001</v>
      </c>
      <c r="N179" s="5">
        <v>129.19999999999999</v>
      </c>
      <c r="O179" s="5">
        <v>148.9</v>
      </c>
      <c r="P179" s="5">
        <v>142.1</v>
      </c>
      <c r="Q179" s="5">
        <v>153.19999999999999</v>
      </c>
      <c r="R179" s="5">
        <v>143</v>
      </c>
      <c r="S179" s="5">
        <v>134.80000000000001</v>
      </c>
      <c r="T179" s="5">
        <v>141.80000000000001</v>
      </c>
      <c r="U179" s="5">
        <v>138.6</v>
      </c>
      <c r="V179" s="5">
        <v>135.30000000000001</v>
      </c>
      <c r="W179" s="5">
        <v>134.4</v>
      </c>
      <c r="X179" s="5">
        <v>132.6</v>
      </c>
      <c r="Y179" s="5">
        <v>118.3</v>
      </c>
      <c r="Z179" s="5">
        <v>128.9</v>
      </c>
      <c r="AA179" s="5">
        <v>138.6</v>
      </c>
      <c r="AB179" s="5">
        <v>126.8</v>
      </c>
      <c r="AC179" s="5">
        <v>128.4</v>
      </c>
      <c r="AD179" s="5">
        <v>137.6</v>
      </c>
    </row>
    <row r="180" spans="1:30" x14ac:dyDescent="0.35">
      <c r="A180" s="5" t="s">
        <v>30</v>
      </c>
      <c r="B180" s="5">
        <v>2017</v>
      </c>
      <c r="C180" s="5" t="s">
        <v>46</v>
      </c>
      <c r="D180" s="11">
        <v>136.4</v>
      </c>
      <c r="E180" s="5">
        <v>143.69999999999999</v>
      </c>
      <c r="F180" s="5">
        <v>144.80000000000001</v>
      </c>
      <c r="G180" s="5">
        <v>141.9</v>
      </c>
      <c r="H180" s="5">
        <v>123.1</v>
      </c>
      <c r="I180" s="5">
        <v>147.19999999999999</v>
      </c>
      <c r="J180" s="5">
        <v>161</v>
      </c>
      <c r="K180" s="5">
        <v>133.80000000000001</v>
      </c>
      <c r="L180" s="5">
        <v>121.9</v>
      </c>
      <c r="M180" s="5">
        <v>135.80000000000001</v>
      </c>
      <c r="N180" s="5">
        <v>131.1</v>
      </c>
      <c r="O180" s="5">
        <v>151.4</v>
      </c>
      <c r="P180" s="5">
        <v>141.5</v>
      </c>
      <c r="Q180" s="5">
        <v>153.19999999999999</v>
      </c>
      <c r="R180" s="5">
        <v>148</v>
      </c>
      <c r="S180" s="5">
        <v>141.9</v>
      </c>
      <c r="T180" s="5">
        <v>147.19999999999999</v>
      </c>
      <c r="U180" s="5" t="s">
        <v>32</v>
      </c>
      <c r="V180" s="5">
        <v>142.6</v>
      </c>
      <c r="W180" s="5">
        <v>139.5</v>
      </c>
      <c r="X180" s="5">
        <v>136.1</v>
      </c>
      <c r="Y180" s="5">
        <v>122</v>
      </c>
      <c r="Z180" s="5">
        <v>133.4</v>
      </c>
      <c r="AA180" s="5">
        <v>141.1</v>
      </c>
      <c r="AB180" s="5">
        <v>127.8</v>
      </c>
      <c r="AC180" s="5">
        <v>131.9</v>
      </c>
      <c r="AD180" s="5">
        <v>139.80000000000001</v>
      </c>
    </row>
    <row r="181" spans="1:30" x14ac:dyDescent="0.35">
      <c r="A181" s="5" t="s">
        <v>33</v>
      </c>
      <c r="B181" s="5">
        <v>2017</v>
      </c>
      <c r="C181" s="5" t="s">
        <v>46</v>
      </c>
      <c r="D181" s="11">
        <v>134.4</v>
      </c>
      <c r="E181" s="5">
        <v>142.6</v>
      </c>
      <c r="F181" s="5">
        <v>145.9</v>
      </c>
      <c r="G181" s="5">
        <v>139.5</v>
      </c>
      <c r="H181" s="5">
        <v>115.9</v>
      </c>
      <c r="I181" s="5">
        <v>135</v>
      </c>
      <c r="J181" s="5">
        <v>163.19999999999999</v>
      </c>
      <c r="K181" s="5">
        <v>119.8</v>
      </c>
      <c r="L181" s="5">
        <v>120.7</v>
      </c>
      <c r="M181" s="5">
        <v>139.69999999999999</v>
      </c>
      <c r="N181" s="5">
        <v>125.7</v>
      </c>
      <c r="O181" s="5">
        <v>146.30000000000001</v>
      </c>
      <c r="P181" s="5">
        <v>138.80000000000001</v>
      </c>
      <c r="Q181" s="5">
        <v>157</v>
      </c>
      <c r="R181" s="5">
        <v>135.6</v>
      </c>
      <c r="S181" s="5">
        <v>125.6</v>
      </c>
      <c r="T181" s="5">
        <v>134</v>
      </c>
      <c r="U181" s="5">
        <v>139.1</v>
      </c>
      <c r="V181" s="5">
        <v>126.8</v>
      </c>
      <c r="W181" s="5">
        <v>129.30000000000001</v>
      </c>
      <c r="X181" s="5">
        <v>128.19999999999999</v>
      </c>
      <c r="Y181" s="5">
        <v>115.3</v>
      </c>
      <c r="Z181" s="5">
        <v>125.6</v>
      </c>
      <c r="AA181" s="5">
        <v>136.69999999999999</v>
      </c>
      <c r="AB181" s="5">
        <v>124.6</v>
      </c>
      <c r="AC181" s="5">
        <v>125.1</v>
      </c>
      <c r="AD181" s="5">
        <v>134.1</v>
      </c>
    </row>
    <row r="182" spans="1:30" x14ac:dyDescent="0.35">
      <c r="A182" s="5" t="s">
        <v>34</v>
      </c>
      <c r="B182" s="5">
        <v>2017</v>
      </c>
      <c r="C182" s="5" t="s">
        <v>46</v>
      </c>
      <c r="D182" s="11">
        <v>135.80000000000001</v>
      </c>
      <c r="E182" s="5">
        <v>143.30000000000001</v>
      </c>
      <c r="F182" s="5">
        <v>145.19999999999999</v>
      </c>
      <c r="G182" s="5">
        <v>141</v>
      </c>
      <c r="H182" s="5">
        <v>120.5</v>
      </c>
      <c r="I182" s="5">
        <v>141.5</v>
      </c>
      <c r="J182" s="5">
        <v>161.69999999999999</v>
      </c>
      <c r="K182" s="5">
        <v>129.1</v>
      </c>
      <c r="L182" s="5">
        <v>121.5</v>
      </c>
      <c r="M182" s="5">
        <v>137.1</v>
      </c>
      <c r="N182" s="5">
        <v>128.80000000000001</v>
      </c>
      <c r="O182" s="5">
        <v>149</v>
      </c>
      <c r="P182" s="5">
        <v>140.5</v>
      </c>
      <c r="Q182" s="5">
        <v>154.19999999999999</v>
      </c>
      <c r="R182" s="5">
        <v>143.1</v>
      </c>
      <c r="S182" s="5">
        <v>135.1</v>
      </c>
      <c r="T182" s="5">
        <v>142</v>
      </c>
      <c r="U182" s="5">
        <v>139.1</v>
      </c>
      <c r="V182" s="5">
        <v>136.6</v>
      </c>
      <c r="W182" s="5">
        <v>134.69999999999999</v>
      </c>
      <c r="X182" s="5">
        <v>133.1</v>
      </c>
      <c r="Y182" s="5">
        <v>118.5</v>
      </c>
      <c r="Z182" s="5">
        <v>129</v>
      </c>
      <c r="AA182" s="5">
        <v>138.5</v>
      </c>
      <c r="AB182" s="5">
        <v>126.5</v>
      </c>
      <c r="AC182" s="5">
        <v>128.6</v>
      </c>
      <c r="AD182" s="5">
        <v>137.19999999999999</v>
      </c>
    </row>
    <row r="183" spans="1:30" x14ac:dyDescent="0.35">
      <c r="A183" s="5" t="s">
        <v>30</v>
      </c>
      <c r="B183" s="5">
        <v>2018</v>
      </c>
      <c r="C183" s="5" t="s">
        <v>31</v>
      </c>
      <c r="D183" s="11">
        <v>136.6</v>
      </c>
      <c r="E183" s="5">
        <v>144.4</v>
      </c>
      <c r="F183" s="5">
        <v>143.80000000000001</v>
      </c>
      <c r="G183" s="5">
        <v>142</v>
      </c>
      <c r="H183" s="5">
        <v>123.2</v>
      </c>
      <c r="I183" s="5">
        <v>147.9</v>
      </c>
      <c r="J183" s="5">
        <v>152.1</v>
      </c>
      <c r="K183" s="5">
        <v>131.80000000000001</v>
      </c>
      <c r="L183" s="5">
        <v>119.5</v>
      </c>
      <c r="M183" s="5">
        <v>136</v>
      </c>
      <c r="N183" s="5">
        <v>131.19999999999999</v>
      </c>
      <c r="O183" s="5">
        <v>151.80000000000001</v>
      </c>
      <c r="P183" s="5">
        <v>140.4</v>
      </c>
      <c r="Q183" s="5">
        <v>153.6</v>
      </c>
      <c r="R183" s="5">
        <v>148.30000000000001</v>
      </c>
      <c r="S183" s="5">
        <v>142.30000000000001</v>
      </c>
      <c r="T183" s="5">
        <v>147.5</v>
      </c>
      <c r="U183" s="5" t="s">
        <v>32</v>
      </c>
      <c r="V183" s="5">
        <v>142.30000000000001</v>
      </c>
      <c r="W183" s="5">
        <v>139.80000000000001</v>
      </c>
      <c r="X183" s="5">
        <v>136</v>
      </c>
      <c r="Y183" s="5">
        <v>122.7</v>
      </c>
      <c r="Z183" s="5">
        <v>134.30000000000001</v>
      </c>
      <c r="AA183" s="5">
        <v>141.6</v>
      </c>
      <c r="AB183" s="5">
        <v>128.6</v>
      </c>
      <c r="AC183" s="5">
        <v>132.30000000000001</v>
      </c>
      <c r="AD183" s="5">
        <v>139.30000000000001</v>
      </c>
    </row>
    <row r="184" spans="1:30" x14ac:dyDescent="0.35">
      <c r="A184" s="5" t="s">
        <v>33</v>
      </c>
      <c r="B184" s="5">
        <v>2018</v>
      </c>
      <c r="C184" s="5" t="s">
        <v>31</v>
      </c>
      <c r="D184" s="11">
        <v>134.6</v>
      </c>
      <c r="E184" s="5">
        <v>143.69999999999999</v>
      </c>
      <c r="F184" s="5">
        <v>143.6</v>
      </c>
      <c r="G184" s="5">
        <v>139.6</v>
      </c>
      <c r="H184" s="5">
        <v>116.4</v>
      </c>
      <c r="I184" s="5">
        <v>133.80000000000001</v>
      </c>
      <c r="J184" s="5">
        <v>150.5</v>
      </c>
      <c r="K184" s="5">
        <v>118.4</v>
      </c>
      <c r="L184" s="5">
        <v>117.3</v>
      </c>
      <c r="M184" s="5">
        <v>140.5</v>
      </c>
      <c r="N184" s="5">
        <v>125.9</v>
      </c>
      <c r="O184" s="5">
        <v>146.80000000000001</v>
      </c>
      <c r="P184" s="5">
        <v>137.19999999999999</v>
      </c>
      <c r="Q184" s="5">
        <v>157.69999999999999</v>
      </c>
      <c r="R184" s="5">
        <v>136</v>
      </c>
      <c r="S184" s="5">
        <v>125.9</v>
      </c>
      <c r="T184" s="5">
        <v>134.4</v>
      </c>
      <c r="U184" s="5">
        <v>140.4</v>
      </c>
      <c r="V184" s="5">
        <v>127.3</v>
      </c>
      <c r="W184" s="5">
        <v>129.5</v>
      </c>
      <c r="X184" s="5">
        <v>129</v>
      </c>
      <c r="Y184" s="5">
        <v>116.3</v>
      </c>
      <c r="Z184" s="5">
        <v>126.2</v>
      </c>
      <c r="AA184" s="5">
        <v>137.1</v>
      </c>
      <c r="AB184" s="5">
        <v>125.5</v>
      </c>
      <c r="AC184" s="5">
        <v>125.8</v>
      </c>
      <c r="AD184" s="5">
        <v>134.1</v>
      </c>
    </row>
    <row r="185" spans="1:30" x14ac:dyDescent="0.35">
      <c r="A185" s="5" t="s">
        <v>34</v>
      </c>
      <c r="B185" s="5">
        <v>2018</v>
      </c>
      <c r="C185" s="5" t="s">
        <v>31</v>
      </c>
      <c r="D185" s="11">
        <v>136</v>
      </c>
      <c r="E185" s="5">
        <v>144.19999999999999</v>
      </c>
      <c r="F185" s="5">
        <v>143.69999999999999</v>
      </c>
      <c r="G185" s="5">
        <v>141.1</v>
      </c>
      <c r="H185" s="5">
        <v>120.7</v>
      </c>
      <c r="I185" s="5">
        <v>141.30000000000001</v>
      </c>
      <c r="J185" s="5">
        <v>151.6</v>
      </c>
      <c r="K185" s="5">
        <v>127.3</v>
      </c>
      <c r="L185" s="5">
        <v>118.8</v>
      </c>
      <c r="M185" s="5">
        <v>137.5</v>
      </c>
      <c r="N185" s="5">
        <v>129</v>
      </c>
      <c r="O185" s="5">
        <v>149.5</v>
      </c>
      <c r="P185" s="5">
        <v>139.19999999999999</v>
      </c>
      <c r="Q185" s="5">
        <v>154.69999999999999</v>
      </c>
      <c r="R185" s="5">
        <v>143.5</v>
      </c>
      <c r="S185" s="5">
        <v>135.5</v>
      </c>
      <c r="T185" s="5">
        <v>142.30000000000001</v>
      </c>
      <c r="U185" s="5">
        <v>140.4</v>
      </c>
      <c r="V185" s="5">
        <v>136.6</v>
      </c>
      <c r="W185" s="5">
        <v>134.9</v>
      </c>
      <c r="X185" s="5">
        <v>133.30000000000001</v>
      </c>
      <c r="Y185" s="5">
        <v>119.3</v>
      </c>
      <c r="Z185" s="5">
        <v>129.69999999999999</v>
      </c>
      <c r="AA185" s="5">
        <v>139</v>
      </c>
      <c r="AB185" s="5">
        <v>127.3</v>
      </c>
      <c r="AC185" s="5">
        <v>129.1</v>
      </c>
      <c r="AD185" s="5">
        <v>136.9</v>
      </c>
    </row>
    <row r="186" spans="1:30" x14ac:dyDescent="0.35">
      <c r="A186" s="5" t="s">
        <v>30</v>
      </c>
      <c r="B186" s="5">
        <v>2018</v>
      </c>
      <c r="C186" s="5" t="s">
        <v>35</v>
      </c>
      <c r="D186" s="11">
        <v>136.4</v>
      </c>
      <c r="E186" s="5">
        <v>143.69999999999999</v>
      </c>
      <c r="F186" s="5">
        <v>140.6</v>
      </c>
      <c r="G186" s="5">
        <v>141.5</v>
      </c>
      <c r="H186" s="5">
        <v>122.9</v>
      </c>
      <c r="I186" s="5">
        <v>149.4</v>
      </c>
      <c r="J186" s="5">
        <v>142.4</v>
      </c>
      <c r="K186" s="5">
        <v>130.19999999999999</v>
      </c>
      <c r="L186" s="5">
        <v>117.9</v>
      </c>
      <c r="M186" s="5">
        <v>135.6</v>
      </c>
      <c r="N186" s="5">
        <v>130.5</v>
      </c>
      <c r="O186" s="5">
        <v>151.69999999999999</v>
      </c>
      <c r="P186" s="5">
        <v>138.69999999999999</v>
      </c>
      <c r="Q186" s="5">
        <v>153.30000000000001</v>
      </c>
      <c r="R186" s="5">
        <v>148.69999999999999</v>
      </c>
      <c r="S186" s="5">
        <v>142.4</v>
      </c>
      <c r="T186" s="5">
        <v>147.80000000000001</v>
      </c>
      <c r="U186" s="5" t="s">
        <v>32</v>
      </c>
      <c r="V186" s="5">
        <v>142.4</v>
      </c>
      <c r="W186" s="5">
        <v>139.9</v>
      </c>
      <c r="X186" s="5">
        <v>136.19999999999999</v>
      </c>
      <c r="Y186" s="5">
        <v>123.3</v>
      </c>
      <c r="Z186" s="5">
        <v>134.30000000000001</v>
      </c>
      <c r="AA186" s="5">
        <v>141.5</v>
      </c>
      <c r="AB186" s="5">
        <v>128.80000000000001</v>
      </c>
      <c r="AC186" s="5">
        <v>132.5</v>
      </c>
      <c r="AD186" s="5">
        <v>138.5</v>
      </c>
    </row>
    <row r="187" spans="1:30" x14ac:dyDescent="0.35">
      <c r="A187" s="5" t="s">
        <v>33</v>
      </c>
      <c r="B187" s="5">
        <v>2018</v>
      </c>
      <c r="C187" s="5" t="s">
        <v>35</v>
      </c>
      <c r="D187" s="11">
        <v>134.80000000000001</v>
      </c>
      <c r="E187" s="5">
        <v>143</v>
      </c>
      <c r="F187" s="5">
        <v>139.9</v>
      </c>
      <c r="G187" s="5">
        <v>139.9</v>
      </c>
      <c r="H187" s="5">
        <v>116.2</v>
      </c>
      <c r="I187" s="5">
        <v>135.5</v>
      </c>
      <c r="J187" s="5">
        <v>136.9</v>
      </c>
      <c r="K187" s="5">
        <v>117</v>
      </c>
      <c r="L187" s="5">
        <v>115.4</v>
      </c>
      <c r="M187" s="5">
        <v>140.69999999999999</v>
      </c>
      <c r="N187" s="5">
        <v>125.9</v>
      </c>
      <c r="O187" s="5">
        <v>147.1</v>
      </c>
      <c r="P187" s="5">
        <v>135.6</v>
      </c>
      <c r="Q187" s="5">
        <v>159.30000000000001</v>
      </c>
      <c r="R187" s="5">
        <v>136.30000000000001</v>
      </c>
      <c r="S187" s="5">
        <v>126.1</v>
      </c>
      <c r="T187" s="5">
        <v>134.69999999999999</v>
      </c>
      <c r="U187" s="5">
        <v>141.30000000000001</v>
      </c>
      <c r="V187" s="5">
        <v>127.3</v>
      </c>
      <c r="W187" s="5">
        <v>129.9</v>
      </c>
      <c r="X187" s="5">
        <v>129.80000000000001</v>
      </c>
      <c r="Y187" s="5">
        <v>117.4</v>
      </c>
      <c r="Z187" s="5">
        <v>126.5</v>
      </c>
      <c r="AA187" s="5">
        <v>137.19999999999999</v>
      </c>
      <c r="AB187" s="5">
        <v>126.2</v>
      </c>
      <c r="AC187" s="5">
        <v>126.5</v>
      </c>
      <c r="AD187" s="5">
        <v>134</v>
      </c>
    </row>
    <row r="188" spans="1:30" x14ac:dyDescent="0.35">
      <c r="A188" s="5" t="s">
        <v>34</v>
      </c>
      <c r="B188" s="5">
        <v>2018</v>
      </c>
      <c r="C188" s="5" t="s">
        <v>35</v>
      </c>
      <c r="D188" s="11">
        <v>135.9</v>
      </c>
      <c r="E188" s="5">
        <v>143.5</v>
      </c>
      <c r="F188" s="5">
        <v>140.30000000000001</v>
      </c>
      <c r="G188" s="5">
        <v>140.9</v>
      </c>
      <c r="H188" s="5">
        <v>120.4</v>
      </c>
      <c r="I188" s="5">
        <v>142.9</v>
      </c>
      <c r="J188" s="5">
        <v>140.5</v>
      </c>
      <c r="K188" s="5">
        <v>125.8</v>
      </c>
      <c r="L188" s="5">
        <v>117.1</v>
      </c>
      <c r="M188" s="5">
        <v>137.30000000000001</v>
      </c>
      <c r="N188" s="5">
        <v>128.6</v>
      </c>
      <c r="O188" s="5">
        <v>149.6</v>
      </c>
      <c r="P188" s="5">
        <v>137.6</v>
      </c>
      <c r="Q188" s="5">
        <v>154.9</v>
      </c>
      <c r="R188" s="5">
        <v>143.80000000000001</v>
      </c>
      <c r="S188" s="5">
        <v>135.6</v>
      </c>
      <c r="T188" s="5">
        <v>142.6</v>
      </c>
      <c r="U188" s="5">
        <v>141.30000000000001</v>
      </c>
      <c r="V188" s="5">
        <v>136.69999999999999</v>
      </c>
      <c r="W188" s="5">
        <v>135.19999999999999</v>
      </c>
      <c r="X188" s="5">
        <v>133.80000000000001</v>
      </c>
      <c r="Y188" s="5">
        <v>120.2</v>
      </c>
      <c r="Z188" s="5">
        <v>129.9</v>
      </c>
      <c r="AA188" s="5">
        <v>139</v>
      </c>
      <c r="AB188" s="5">
        <v>127.7</v>
      </c>
      <c r="AC188" s="5">
        <v>129.6</v>
      </c>
      <c r="AD188" s="5">
        <v>136.4</v>
      </c>
    </row>
    <row r="189" spans="1:30" x14ac:dyDescent="0.35">
      <c r="A189" s="5" t="s">
        <v>30</v>
      </c>
      <c r="B189" s="5">
        <v>2018</v>
      </c>
      <c r="C189" s="5" t="s">
        <v>36</v>
      </c>
      <c r="D189" s="11">
        <v>136.80000000000001</v>
      </c>
      <c r="E189" s="5">
        <v>143.80000000000001</v>
      </c>
      <c r="F189" s="5">
        <v>140</v>
      </c>
      <c r="G189" s="5">
        <v>142</v>
      </c>
      <c r="H189" s="5">
        <v>123.2</v>
      </c>
      <c r="I189" s="5">
        <v>152.9</v>
      </c>
      <c r="J189" s="5">
        <v>138</v>
      </c>
      <c r="K189" s="5">
        <v>129.30000000000001</v>
      </c>
      <c r="L189" s="5">
        <v>117.1</v>
      </c>
      <c r="M189" s="5">
        <v>136.30000000000001</v>
      </c>
      <c r="N189" s="5">
        <v>131.19999999999999</v>
      </c>
      <c r="O189" s="5">
        <v>152.80000000000001</v>
      </c>
      <c r="P189" s="5">
        <v>138.6</v>
      </c>
      <c r="Q189" s="5">
        <v>155.1</v>
      </c>
      <c r="R189" s="5">
        <v>149.19999999999999</v>
      </c>
      <c r="S189" s="5">
        <v>143</v>
      </c>
      <c r="T189" s="5">
        <v>148.30000000000001</v>
      </c>
      <c r="U189" s="5" t="s">
        <v>32</v>
      </c>
      <c r="V189" s="5">
        <v>142.6</v>
      </c>
      <c r="W189" s="5">
        <v>139.9</v>
      </c>
      <c r="X189" s="5">
        <v>136.69999999999999</v>
      </c>
      <c r="Y189" s="5">
        <v>124.6</v>
      </c>
      <c r="Z189" s="5">
        <v>135.1</v>
      </c>
      <c r="AA189" s="5">
        <v>142.69999999999999</v>
      </c>
      <c r="AB189" s="5">
        <v>129.30000000000001</v>
      </c>
      <c r="AC189" s="5">
        <v>133.30000000000001</v>
      </c>
      <c r="AD189" s="5">
        <v>138.69999999999999</v>
      </c>
    </row>
    <row r="190" spans="1:30" x14ac:dyDescent="0.35">
      <c r="A190" s="5" t="s">
        <v>33</v>
      </c>
      <c r="B190" s="5">
        <v>2018</v>
      </c>
      <c r="C190" s="5" t="s">
        <v>36</v>
      </c>
      <c r="D190" s="11">
        <v>135</v>
      </c>
      <c r="E190" s="5">
        <v>143.1</v>
      </c>
      <c r="F190" s="5">
        <v>135.5</v>
      </c>
      <c r="G190" s="5">
        <v>139.9</v>
      </c>
      <c r="H190" s="5">
        <v>116.5</v>
      </c>
      <c r="I190" s="5">
        <v>138.5</v>
      </c>
      <c r="J190" s="5">
        <v>128</v>
      </c>
      <c r="K190" s="5">
        <v>115.5</v>
      </c>
      <c r="L190" s="5">
        <v>114.2</v>
      </c>
      <c r="M190" s="5">
        <v>140.69999999999999</v>
      </c>
      <c r="N190" s="5">
        <v>126.2</v>
      </c>
      <c r="O190" s="5">
        <v>147.6</v>
      </c>
      <c r="P190" s="5">
        <v>134.80000000000001</v>
      </c>
      <c r="Q190" s="5">
        <v>159.69999999999999</v>
      </c>
      <c r="R190" s="5">
        <v>136.69999999999999</v>
      </c>
      <c r="S190" s="5">
        <v>126.7</v>
      </c>
      <c r="T190" s="5">
        <v>135.19999999999999</v>
      </c>
      <c r="U190" s="5">
        <v>142</v>
      </c>
      <c r="V190" s="5">
        <v>126.4</v>
      </c>
      <c r="W190" s="5">
        <v>130.80000000000001</v>
      </c>
      <c r="X190" s="5">
        <v>130.5</v>
      </c>
      <c r="Y190" s="5">
        <v>117.8</v>
      </c>
      <c r="Z190" s="5">
        <v>126.8</v>
      </c>
      <c r="AA190" s="5">
        <v>137.80000000000001</v>
      </c>
      <c r="AB190" s="5">
        <v>126.7</v>
      </c>
      <c r="AC190" s="5">
        <v>127.1</v>
      </c>
      <c r="AD190" s="5">
        <v>134</v>
      </c>
    </row>
    <row r="191" spans="1:30" x14ac:dyDescent="0.35">
      <c r="A191" s="5" t="s">
        <v>34</v>
      </c>
      <c r="B191" s="5">
        <v>2018</v>
      </c>
      <c r="C191" s="5" t="s">
        <v>36</v>
      </c>
      <c r="D191" s="11">
        <v>136.19999999999999</v>
      </c>
      <c r="E191" s="5">
        <v>143.6</v>
      </c>
      <c r="F191" s="5">
        <v>138.30000000000001</v>
      </c>
      <c r="G191" s="5">
        <v>141.19999999999999</v>
      </c>
      <c r="H191" s="5">
        <v>120.7</v>
      </c>
      <c r="I191" s="5">
        <v>146.19999999999999</v>
      </c>
      <c r="J191" s="5">
        <v>134.6</v>
      </c>
      <c r="K191" s="5">
        <v>124.6</v>
      </c>
      <c r="L191" s="5">
        <v>116.1</v>
      </c>
      <c r="M191" s="5">
        <v>137.80000000000001</v>
      </c>
      <c r="N191" s="5">
        <v>129.1</v>
      </c>
      <c r="O191" s="5">
        <v>150.4</v>
      </c>
      <c r="P191" s="5">
        <v>137.19999999999999</v>
      </c>
      <c r="Q191" s="5">
        <v>156.30000000000001</v>
      </c>
      <c r="R191" s="5">
        <v>144.30000000000001</v>
      </c>
      <c r="S191" s="5">
        <v>136.19999999999999</v>
      </c>
      <c r="T191" s="5">
        <v>143.1</v>
      </c>
      <c r="U191" s="5">
        <v>142</v>
      </c>
      <c r="V191" s="5">
        <v>136.5</v>
      </c>
      <c r="W191" s="5">
        <v>135.6</v>
      </c>
      <c r="X191" s="5">
        <v>134.30000000000001</v>
      </c>
      <c r="Y191" s="5">
        <v>121</v>
      </c>
      <c r="Z191" s="5">
        <v>130.4</v>
      </c>
      <c r="AA191" s="5">
        <v>139.80000000000001</v>
      </c>
      <c r="AB191" s="5">
        <v>128.19999999999999</v>
      </c>
      <c r="AC191" s="5">
        <v>130.30000000000001</v>
      </c>
      <c r="AD191" s="5">
        <v>136.5</v>
      </c>
    </row>
    <row r="192" spans="1:30" x14ac:dyDescent="0.35">
      <c r="A192" s="5" t="s">
        <v>30</v>
      </c>
      <c r="B192" s="5">
        <v>2018</v>
      </c>
      <c r="C192" s="5" t="s">
        <v>37</v>
      </c>
      <c r="D192" s="11">
        <v>137.1</v>
      </c>
      <c r="E192" s="5">
        <v>144.5</v>
      </c>
      <c r="F192" s="5">
        <v>135.9</v>
      </c>
      <c r="G192" s="5">
        <v>142.4</v>
      </c>
      <c r="H192" s="5">
        <v>123.5</v>
      </c>
      <c r="I192" s="5">
        <v>156.4</v>
      </c>
      <c r="J192" s="5">
        <v>135.1</v>
      </c>
      <c r="K192" s="5">
        <v>128.4</v>
      </c>
      <c r="L192" s="5">
        <v>115.2</v>
      </c>
      <c r="M192" s="5">
        <v>137.19999999999999</v>
      </c>
      <c r="N192" s="5">
        <v>131.9</v>
      </c>
      <c r="O192" s="5">
        <v>153.80000000000001</v>
      </c>
      <c r="P192" s="5">
        <v>138.6</v>
      </c>
      <c r="Q192" s="5">
        <v>156.1</v>
      </c>
      <c r="R192" s="5">
        <v>150.1</v>
      </c>
      <c r="S192" s="5">
        <v>143.30000000000001</v>
      </c>
      <c r="T192" s="5">
        <v>149.1</v>
      </c>
      <c r="U192" s="5" t="s">
        <v>32</v>
      </c>
      <c r="V192" s="5">
        <v>143.80000000000001</v>
      </c>
      <c r="W192" s="5">
        <v>140.9</v>
      </c>
      <c r="X192" s="5">
        <v>137.6</v>
      </c>
      <c r="Y192" s="5">
        <v>125.3</v>
      </c>
      <c r="Z192" s="5">
        <v>136</v>
      </c>
      <c r="AA192" s="5">
        <v>143.69999999999999</v>
      </c>
      <c r="AB192" s="5">
        <v>130.4</v>
      </c>
      <c r="AC192" s="5">
        <v>134.19999999999999</v>
      </c>
      <c r="AD192" s="5">
        <v>139.1</v>
      </c>
    </row>
    <row r="193" spans="1:30" x14ac:dyDescent="0.35">
      <c r="A193" s="5" t="s">
        <v>33</v>
      </c>
      <c r="B193" s="5">
        <v>2018</v>
      </c>
      <c r="C193" s="5" t="s">
        <v>37</v>
      </c>
      <c r="D193" s="11">
        <v>135</v>
      </c>
      <c r="E193" s="5">
        <v>144.30000000000001</v>
      </c>
      <c r="F193" s="5">
        <v>130.80000000000001</v>
      </c>
      <c r="G193" s="5">
        <v>140.30000000000001</v>
      </c>
      <c r="H193" s="5">
        <v>116.6</v>
      </c>
      <c r="I193" s="5">
        <v>150.1</v>
      </c>
      <c r="J193" s="5">
        <v>127.6</v>
      </c>
      <c r="K193" s="5">
        <v>114</v>
      </c>
      <c r="L193" s="5">
        <v>110.6</v>
      </c>
      <c r="M193" s="5">
        <v>140.19999999999999</v>
      </c>
      <c r="N193" s="5">
        <v>126.5</v>
      </c>
      <c r="O193" s="5">
        <v>148.30000000000001</v>
      </c>
      <c r="P193" s="5">
        <v>135.69999999999999</v>
      </c>
      <c r="Q193" s="5">
        <v>159.19999999999999</v>
      </c>
      <c r="R193" s="5">
        <v>137.80000000000001</v>
      </c>
      <c r="S193" s="5">
        <v>127.4</v>
      </c>
      <c r="T193" s="5">
        <v>136.19999999999999</v>
      </c>
      <c r="U193" s="5">
        <v>142.9</v>
      </c>
      <c r="V193" s="5">
        <v>124.6</v>
      </c>
      <c r="W193" s="5">
        <v>131.80000000000001</v>
      </c>
      <c r="X193" s="5">
        <v>131.30000000000001</v>
      </c>
      <c r="Y193" s="5">
        <v>118.9</v>
      </c>
      <c r="Z193" s="5">
        <v>127.6</v>
      </c>
      <c r="AA193" s="5">
        <v>139.69999999999999</v>
      </c>
      <c r="AB193" s="5">
        <v>127.6</v>
      </c>
      <c r="AC193" s="5">
        <v>128.19999999999999</v>
      </c>
      <c r="AD193" s="5">
        <v>134.80000000000001</v>
      </c>
    </row>
    <row r="194" spans="1:30" x14ac:dyDescent="0.35">
      <c r="A194" s="5" t="s">
        <v>34</v>
      </c>
      <c r="B194" s="5">
        <v>2018</v>
      </c>
      <c r="C194" s="5" t="s">
        <v>37</v>
      </c>
      <c r="D194" s="11">
        <v>136.4</v>
      </c>
      <c r="E194" s="5">
        <v>144.4</v>
      </c>
      <c r="F194" s="5">
        <v>133.9</v>
      </c>
      <c r="G194" s="5">
        <v>141.6</v>
      </c>
      <c r="H194" s="5">
        <v>121</v>
      </c>
      <c r="I194" s="5">
        <v>153.5</v>
      </c>
      <c r="J194" s="5">
        <v>132.6</v>
      </c>
      <c r="K194" s="5">
        <v>123.5</v>
      </c>
      <c r="L194" s="5">
        <v>113.7</v>
      </c>
      <c r="M194" s="5">
        <v>138.19999999999999</v>
      </c>
      <c r="N194" s="5">
        <v>129.6</v>
      </c>
      <c r="O194" s="5">
        <v>151.19999999999999</v>
      </c>
      <c r="P194" s="5">
        <v>137.5</v>
      </c>
      <c r="Q194" s="5">
        <v>156.9</v>
      </c>
      <c r="R194" s="5">
        <v>145.30000000000001</v>
      </c>
      <c r="S194" s="5">
        <v>136.69999999999999</v>
      </c>
      <c r="T194" s="5">
        <v>144</v>
      </c>
      <c r="U194" s="5">
        <v>142.9</v>
      </c>
      <c r="V194" s="5">
        <v>136.5</v>
      </c>
      <c r="W194" s="5">
        <v>136.6</v>
      </c>
      <c r="X194" s="5">
        <v>135.19999999999999</v>
      </c>
      <c r="Y194" s="5">
        <v>121.9</v>
      </c>
      <c r="Z194" s="5">
        <v>131.30000000000001</v>
      </c>
      <c r="AA194" s="5">
        <v>141.4</v>
      </c>
      <c r="AB194" s="5">
        <v>129.19999999999999</v>
      </c>
      <c r="AC194" s="5">
        <v>131.30000000000001</v>
      </c>
      <c r="AD194" s="5">
        <v>137.1</v>
      </c>
    </row>
    <row r="195" spans="1:30" x14ac:dyDescent="0.35">
      <c r="A195" s="5" t="s">
        <v>30</v>
      </c>
      <c r="B195" s="5">
        <v>2018</v>
      </c>
      <c r="C195" s="5" t="s">
        <v>38</v>
      </c>
      <c r="D195" s="11">
        <v>137.4</v>
      </c>
      <c r="E195" s="5">
        <v>145.69999999999999</v>
      </c>
      <c r="F195" s="5">
        <v>135.5</v>
      </c>
      <c r="G195" s="5">
        <v>142.9</v>
      </c>
      <c r="H195" s="5">
        <v>123.6</v>
      </c>
      <c r="I195" s="5">
        <v>157.5</v>
      </c>
      <c r="J195" s="5">
        <v>137.80000000000001</v>
      </c>
      <c r="K195" s="5">
        <v>127.2</v>
      </c>
      <c r="L195" s="5">
        <v>111.8</v>
      </c>
      <c r="M195" s="5">
        <v>137.4</v>
      </c>
      <c r="N195" s="5">
        <v>132.19999999999999</v>
      </c>
      <c r="O195" s="5">
        <v>154.30000000000001</v>
      </c>
      <c r="P195" s="5">
        <v>139.1</v>
      </c>
      <c r="Q195" s="5">
        <v>157</v>
      </c>
      <c r="R195" s="5">
        <v>150.80000000000001</v>
      </c>
      <c r="S195" s="5">
        <v>144.1</v>
      </c>
      <c r="T195" s="5">
        <v>149.80000000000001</v>
      </c>
      <c r="U195" s="5" t="s">
        <v>32</v>
      </c>
      <c r="V195" s="5">
        <v>144.30000000000001</v>
      </c>
      <c r="W195" s="5">
        <v>141.80000000000001</v>
      </c>
      <c r="X195" s="5">
        <v>138.4</v>
      </c>
      <c r="Y195" s="5">
        <v>126.4</v>
      </c>
      <c r="Z195" s="5">
        <v>136.80000000000001</v>
      </c>
      <c r="AA195" s="5">
        <v>144.4</v>
      </c>
      <c r="AB195" s="5">
        <v>131.19999999999999</v>
      </c>
      <c r="AC195" s="5">
        <v>135.1</v>
      </c>
      <c r="AD195" s="5">
        <v>139.80000000000001</v>
      </c>
    </row>
    <row r="196" spans="1:30" x14ac:dyDescent="0.35">
      <c r="A196" s="5" t="s">
        <v>33</v>
      </c>
      <c r="B196" s="5">
        <v>2018</v>
      </c>
      <c r="C196" s="5" t="s">
        <v>38</v>
      </c>
      <c r="D196" s="11">
        <v>135</v>
      </c>
      <c r="E196" s="5">
        <v>148.19999999999999</v>
      </c>
      <c r="F196" s="5">
        <v>130.5</v>
      </c>
      <c r="G196" s="5">
        <v>140.69999999999999</v>
      </c>
      <c r="H196" s="5">
        <v>116.4</v>
      </c>
      <c r="I196" s="5">
        <v>151.30000000000001</v>
      </c>
      <c r="J196" s="5">
        <v>131.4</v>
      </c>
      <c r="K196" s="5">
        <v>112.8</v>
      </c>
      <c r="L196" s="5">
        <v>105.3</v>
      </c>
      <c r="M196" s="5">
        <v>139.6</v>
      </c>
      <c r="N196" s="5">
        <v>126.6</v>
      </c>
      <c r="O196" s="5">
        <v>148.69999999999999</v>
      </c>
      <c r="P196" s="5">
        <v>136.4</v>
      </c>
      <c r="Q196" s="5">
        <v>160.30000000000001</v>
      </c>
      <c r="R196" s="5">
        <v>138.6</v>
      </c>
      <c r="S196" s="5">
        <v>127.9</v>
      </c>
      <c r="T196" s="5">
        <v>137</v>
      </c>
      <c r="U196" s="5">
        <v>143.19999999999999</v>
      </c>
      <c r="V196" s="5">
        <v>124.7</v>
      </c>
      <c r="W196" s="5">
        <v>132.5</v>
      </c>
      <c r="X196" s="5">
        <v>132</v>
      </c>
      <c r="Y196" s="5">
        <v>119.8</v>
      </c>
      <c r="Z196" s="5">
        <v>128</v>
      </c>
      <c r="AA196" s="5">
        <v>140.4</v>
      </c>
      <c r="AB196" s="5">
        <v>128.1</v>
      </c>
      <c r="AC196" s="5">
        <v>128.9</v>
      </c>
      <c r="AD196" s="5">
        <v>135.4</v>
      </c>
    </row>
    <row r="197" spans="1:30" x14ac:dyDescent="0.35">
      <c r="A197" s="5" t="s">
        <v>34</v>
      </c>
      <c r="B197" s="5">
        <v>2018</v>
      </c>
      <c r="C197" s="5" t="s">
        <v>38</v>
      </c>
      <c r="D197" s="11">
        <v>136.6</v>
      </c>
      <c r="E197" s="5">
        <v>146.6</v>
      </c>
      <c r="F197" s="5">
        <v>133.6</v>
      </c>
      <c r="G197" s="5">
        <v>142.1</v>
      </c>
      <c r="H197" s="5">
        <v>121</v>
      </c>
      <c r="I197" s="5">
        <v>154.6</v>
      </c>
      <c r="J197" s="5">
        <v>135.6</v>
      </c>
      <c r="K197" s="5">
        <v>122.3</v>
      </c>
      <c r="L197" s="5">
        <v>109.6</v>
      </c>
      <c r="M197" s="5">
        <v>138.1</v>
      </c>
      <c r="N197" s="5">
        <v>129.9</v>
      </c>
      <c r="O197" s="5">
        <v>151.69999999999999</v>
      </c>
      <c r="P197" s="5">
        <v>138.1</v>
      </c>
      <c r="Q197" s="5">
        <v>157.9</v>
      </c>
      <c r="R197" s="5">
        <v>146</v>
      </c>
      <c r="S197" s="5">
        <v>137.4</v>
      </c>
      <c r="T197" s="5">
        <v>144.69999999999999</v>
      </c>
      <c r="U197" s="5">
        <v>143.19999999999999</v>
      </c>
      <c r="V197" s="5">
        <v>136.9</v>
      </c>
      <c r="W197" s="5">
        <v>137.4</v>
      </c>
      <c r="X197" s="5">
        <v>136</v>
      </c>
      <c r="Y197" s="5">
        <v>122.9</v>
      </c>
      <c r="Z197" s="5">
        <v>131.80000000000001</v>
      </c>
      <c r="AA197" s="5">
        <v>142.1</v>
      </c>
      <c r="AB197" s="5">
        <v>129.9</v>
      </c>
      <c r="AC197" s="5">
        <v>132.1</v>
      </c>
      <c r="AD197" s="5">
        <v>137.80000000000001</v>
      </c>
    </row>
    <row r="198" spans="1:30" x14ac:dyDescent="0.35">
      <c r="A198" s="5" t="s">
        <v>30</v>
      </c>
      <c r="B198" s="5">
        <v>2018</v>
      </c>
      <c r="C198" s="5" t="s">
        <v>39</v>
      </c>
      <c r="D198" s="11">
        <v>137.6</v>
      </c>
      <c r="E198" s="5">
        <v>148.1</v>
      </c>
      <c r="F198" s="5">
        <v>136.69999999999999</v>
      </c>
      <c r="G198" s="5">
        <v>143.19999999999999</v>
      </c>
      <c r="H198" s="5">
        <v>124</v>
      </c>
      <c r="I198" s="5">
        <v>154.1</v>
      </c>
      <c r="J198" s="5">
        <v>143.5</v>
      </c>
      <c r="K198" s="5">
        <v>126</v>
      </c>
      <c r="L198" s="5">
        <v>112.4</v>
      </c>
      <c r="M198" s="5">
        <v>137.6</v>
      </c>
      <c r="N198" s="5">
        <v>132.80000000000001</v>
      </c>
      <c r="O198" s="5">
        <v>154.30000000000001</v>
      </c>
      <c r="P198" s="5">
        <v>140</v>
      </c>
      <c r="Q198" s="5">
        <v>157.30000000000001</v>
      </c>
      <c r="R198" s="5">
        <v>151.30000000000001</v>
      </c>
      <c r="S198" s="5">
        <v>144.69999999999999</v>
      </c>
      <c r="T198" s="5">
        <v>150.30000000000001</v>
      </c>
      <c r="U198" s="5" t="s">
        <v>32</v>
      </c>
      <c r="V198" s="5">
        <v>145.1</v>
      </c>
      <c r="W198" s="5">
        <v>142.19999999999999</v>
      </c>
      <c r="X198" s="5">
        <v>138.4</v>
      </c>
      <c r="Y198" s="5">
        <v>127.4</v>
      </c>
      <c r="Z198" s="5">
        <v>137.80000000000001</v>
      </c>
      <c r="AA198" s="5">
        <v>145.1</v>
      </c>
      <c r="AB198" s="5">
        <v>131.4</v>
      </c>
      <c r="AC198" s="5">
        <v>135.6</v>
      </c>
      <c r="AD198" s="5">
        <v>140.5</v>
      </c>
    </row>
    <row r="199" spans="1:30" x14ac:dyDescent="0.35">
      <c r="A199" s="5" t="s">
        <v>33</v>
      </c>
      <c r="B199" s="5">
        <v>2018</v>
      </c>
      <c r="C199" s="5" t="s">
        <v>39</v>
      </c>
      <c r="D199" s="11">
        <v>135.30000000000001</v>
      </c>
      <c r="E199" s="5">
        <v>149.69999999999999</v>
      </c>
      <c r="F199" s="5">
        <v>133.9</v>
      </c>
      <c r="G199" s="5">
        <v>140.80000000000001</v>
      </c>
      <c r="H199" s="5">
        <v>116.6</v>
      </c>
      <c r="I199" s="5">
        <v>152.19999999999999</v>
      </c>
      <c r="J199" s="5">
        <v>144</v>
      </c>
      <c r="K199" s="5">
        <v>112.3</v>
      </c>
      <c r="L199" s="5">
        <v>108.4</v>
      </c>
      <c r="M199" s="5">
        <v>140</v>
      </c>
      <c r="N199" s="5">
        <v>126.7</v>
      </c>
      <c r="O199" s="5">
        <v>149</v>
      </c>
      <c r="P199" s="5">
        <v>138.4</v>
      </c>
      <c r="Q199" s="5">
        <v>161</v>
      </c>
      <c r="R199" s="5">
        <v>138.9</v>
      </c>
      <c r="S199" s="5">
        <v>128.69999999999999</v>
      </c>
      <c r="T199" s="5">
        <v>137.4</v>
      </c>
      <c r="U199" s="5">
        <v>142.5</v>
      </c>
      <c r="V199" s="5">
        <v>126.5</v>
      </c>
      <c r="W199" s="5">
        <v>133.1</v>
      </c>
      <c r="X199" s="5">
        <v>132.6</v>
      </c>
      <c r="Y199" s="5">
        <v>120.4</v>
      </c>
      <c r="Z199" s="5">
        <v>128.5</v>
      </c>
      <c r="AA199" s="5">
        <v>141.19999999999999</v>
      </c>
      <c r="AB199" s="5">
        <v>128.19999999999999</v>
      </c>
      <c r="AC199" s="5">
        <v>129.5</v>
      </c>
      <c r="AD199" s="5">
        <v>136.19999999999999</v>
      </c>
    </row>
    <row r="200" spans="1:30" x14ac:dyDescent="0.35">
      <c r="A200" s="5" t="s">
        <v>34</v>
      </c>
      <c r="B200" s="5">
        <v>2018</v>
      </c>
      <c r="C200" s="5" t="s">
        <v>39</v>
      </c>
      <c r="D200" s="11">
        <v>136.9</v>
      </c>
      <c r="E200" s="5">
        <v>148.69999999999999</v>
      </c>
      <c r="F200" s="5">
        <v>135.6</v>
      </c>
      <c r="G200" s="5">
        <v>142.30000000000001</v>
      </c>
      <c r="H200" s="5">
        <v>121.3</v>
      </c>
      <c r="I200" s="5">
        <v>153.19999999999999</v>
      </c>
      <c r="J200" s="5">
        <v>143.69999999999999</v>
      </c>
      <c r="K200" s="5">
        <v>121.4</v>
      </c>
      <c r="L200" s="5">
        <v>111.1</v>
      </c>
      <c r="M200" s="5">
        <v>138.4</v>
      </c>
      <c r="N200" s="5">
        <v>130.30000000000001</v>
      </c>
      <c r="O200" s="5">
        <v>151.80000000000001</v>
      </c>
      <c r="P200" s="5">
        <v>139.4</v>
      </c>
      <c r="Q200" s="5">
        <v>158.30000000000001</v>
      </c>
      <c r="R200" s="5">
        <v>146.4</v>
      </c>
      <c r="S200" s="5">
        <v>138.1</v>
      </c>
      <c r="T200" s="5">
        <v>145.19999999999999</v>
      </c>
      <c r="U200" s="5">
        <v>142.5</v>
      </c>
      <c r="V200" s="5">
        <v>138.1</v>
      </c>
      <c r="W200" s="5">
        <v>137.9</v>
      </c>
      <c r="X200" s="5">
        <v>136.19999999999999</v>
      </c>
      <c r="Y200" s="5">
        <v>123.7</v>
      </c>
      <c r="Z200" s="5">
        <v>132.6</v>
      </c>
      <c r="AA200" s="5">
        <v>142.80000000000001</v>
      </c>
      <c r="AB200" s="5">
        <v>130.1</v>
      </c>
      <c r="AC200" s="5">
        <v>132.6</v>
      </c>
      <c r="AD200" s="5">
        <v>138.5</v>
      </c>
    </row>
    <row r="201" spans="1:30" x14ac:dyDescent="0.35">
      <c r="A201" s="5" t="s">
        <v>30</v>
      </c>
      <c r="B201" s="5">
        <v>2018</v>
      </c>
      <c r="C201" s="5" t="s">
        <v>40</v>
      </c>
      <c r="D201" s="11">
        <v>138.4</v>
      </c>
      <c r="E201" s="5">
        <v>149.30000000000001</v>
      </c>
      <c r="F201" s="5">
        <v>139.30000000000001</v>
      </c>
      <c r="G201" s="5">
        <v>143.4</v>
      </c>
      <c r="H201" s="5">
        <v>124.1</v>
      </c>
      <c r="I201" s="5">
        <v>153.30000000000001</v>
      </c>
      <c r="J201" s="5">
        <v>154.19999999999999</v>
      </c>
      <c r="K201" s="5">
        <v>126.4</v>
      </c>
      <c r="L201" s="5">
        <v>114.3</v>
      </c>
      <c r="M201" s="5">
        <v>138.19999999999999</v>
      </c>
      <c r="N201" s="5">
        <v>132.80000000000001</v>
      </c>
      <c r="O201" s="5">
        <v>154.80000000000001</v>
      </c>
      <c r="P201" s="5">
        <v>142</v>
      </c>
      <c r="Q201" s="5">
        <v>156.1</v>
      </c>
      <c r="R201" s="5">
        <v>151.5</v>
      </c>
      <c r="S201" s="5">
        <v>145.1</v>
      </c>
      <c r="T201" s="5">
        <v>150.6</v>
      </c>
      <c r="U201" s="5" t="s">
        <v>32</v>
      </c>
      <c r="V201" s="5">
        <v>146.80000000000001</v>
      </c>
      <c r="W201" s="5">
        <v>143.1</v>
      </c>
      <c r="X201" s="5">
        <v>139</v>
      </c>
      <c r="Y201" s="5">
        <v>127.5</v>
      </c>
      <c r="Z201" s="5">
        <v>138.4</v>
      </c>
      <c r="AA201" s="5">
        <v>145.80000000000001</v>
      </c>
      <c r="AB201" s="5">
        <v>131.4</v>
      </c>
      <c r="AC201" s="5">
        <v>136</v>
      </c>
      <c r="AD201" s="5">
        <v>141.80000000000001</v>
      </c>
    </row>
    <row r="202" spans="1:30" x14ac:dyDescent="0.35">
      <c r="A202" s="5" t="s">
        <v>33</v>
      </c>
      <c r="B202" s="5">
        <v>2018</v>
      </c>
      <c r="C202" s="5" t="s">
        <v>40</v>
      </c>
      <c r="D202" s="11">
        <v>135.6</v>
      </c>
      <c r="E202" s="5">
        <v>148.6</v>
      </c>
      <c r="F202" s="5">
        <v>139.1</v>
      </c>
      <c r="G202" s="5">
        <v>141</v>
      </c>
      <c r="H202" s="5">
        <v>116.7</v>
      </c>
      <c r="I202" s="5">
        <v>149.69999999999999</v>
      </c>
      <c r="J202" s="5">
        <v>159.19999999999999</v>
      </c>
      <c r="K202" s="5">
        <v>112.6</v>
      </c>
      <c r="L202" s="5">
        <v>111.8</v>
      </c>
      <c r="M202" s="5">
        <v>140.30000000000001</v>
      </c>
      <c r="N202" s="5">
        <v>126.8</v>
      </c>
      <c r="O202" s="5">
        <v>149.4</v>
      </c>
      <c r="P202" s="5">
        <v>140.30000000000001</v>
      </c>
      <c r="Q202" s="5">
        <v>161.4</v>
      </c>
      <c r="R202" s="5">
        <v>139.6</v>
      </c>
      <c r="S202" s="5">
        <v>128.9</v>
      </c>
      <c r="T202" s="5">
        <v>137.9</v>
      </c>
      <c r="U202" s="5">
        <v>143.6</v>
      </c>
      <c r="V202" s="5">
        <v>128.1</v>
      </c>
      <c r="W202" s="5">
        <v>133.6</v>
      </c>
      <c r="X202" s="5">
        <v>133.6</v>
      </c>
      <c r="Y202" s="5">
        <v>120.1</v>
      </c>
      <c r="Z202" s="5">
        <v>129</v>
      </c>
      <c r="AA202" s="5">
        <v>144</v>
      </c>
      <c r="AB202" s="5">
        <v>128.19999999999999</v>
      </c>
      <c r="AC202" s="5">
        <v>130.19999999999999</v>
      </c>
      <c r="AD202" s="5">
        <v>137.5</v>
      </c>
    </row>
    <row r="203" spans="1:30" x14ac:dyDescent="0.35">
      <c r="A203" s="5" t="s">
        <v>34</v>
      </c>
      <c r="B203" s="5">
        <v>2018</v>
      </c>
      <c r="C203" s="5" t="s">
        <v>40</v>
      </c>
      <c r="D203" s="11">
        <v>137.5</v>
      </c>
      <c r="E203" s="5">
        <v>149.1</v>
      </c>
      <c r="F203" s="5">
        <v>139.19999999999999</v>
      </c>
      <c r="G203" s="5">
        <v>142.5</v>
      </c>
      <c r="H203" s="5">
        <v>121.4</v>
      </c>
      <c r="I203" s="5">
        <v>151.6</v>
      </c>
      <c r="J203" s="5">
        <v>155.9</v>
      </c>
      <c r="K203" s="5">
        <v>121.7</v>
      </c>
      <c r="L203" s="5">
        <v>113.5</v>
      </c>
      <c r="M203" s="5">
        <v>138.9</v>
      </c>
      <c r="N203" s="5">
        <v>130.30000000000001</v>
      </c>
      <c r="O203" s="5">
        <v>152.30000000000001</v>
      </c>
      <c r="P203" s="5">
        <v>141.4</v>
      </c>
      <c r="Q203" s="5">
        <v>157.5</v>
      </c>
      <c r="R203" s="5">
        <v>146.80000000000001</v>
      </c>
      <c r="S203" s="5">
        <v>138.4</v>
      </c>
      <c r="T203" s="5">
        <v>145.6</v>
      </c>
      <c r="U203" s="5">
        <v>143.6</v>
      </c>
      <c r="V203" s="5">
        <v>139.69999999999999</v>
      </c>
      <c r="W203" s="5">
        <v>138.6</v>
      </c>
      <c r="X203" s="5">
        <v>137</v>
      </c>
      <c r="Y203" s="5">
        <v>123.6</v>
      </c>
      <c r="Z203" s="5">
        <v>133.1</v>
      </c>
      <c r="AA203" s="5">
        <v>144.69999999999999</v>
      </c>
      <c r="AB203" s="5">
        <v>130.1</v>
      </c>
      <c r="AC203" s="5">
        <v>133.19999999999999</v>
      </c>
      <c r="AD203" s="5">
        <v>139.80000000000001</v>
      </c>
    </row>
    <row r="204" spans="1:30" x14ac:dyDescent="0.35">
      <c r="A204" s="5" t="s">
        <v>30</v>
      </c>
      <c r="B204" s="5">
        <v>2018</v>
      </c>
      <c r="C204" s="5" t="s">
        <v>41</v>
      </c>
      <c r="D204" s="11">
        <v>139.19999999999999</v>
      </c>
      <c r="E204" s="5">
        <v>148.80000000000001</v>
      </c>
      <c r="F204" s="5">
        <v>139.1</v>
      </c>
      <c r="G204" s="5">
        <v>143.5</v>
      </c>
      <c r="H204" s="5">
        <v>125</v>
      </c>
      <c r="I204" s="5">
        <v>154.4</v>
      </c>
      <c r="J204" s="5">
        <v>156.30000000000001</v>
      </c>
      <c r="K204" s="5">
        <v>126.8</v>
      </c>
      <c r="L204" s="5">
        <v>115.4</v>
      </c>
      <c r="M204" s="5">
        <v>138.6</v>
      </c>
      <c r="N204" s="5">
        <v>133.80000000000001</v>
      </c>
      <c r="O204" s="5">
        <v>155.19999999999999</v>
      </c>
      <c r="P204" s="5">
        <v>142.69999999999999</v>
      </c>
      <c r="Q204" s="5">
        <v>156.4</v>
      </c>
      <c r="R204" s="5">
        <v>152.1</v>
      </c>
      <c r="S204" s="5">
        <v>145.80000000000001</v>
      </c>
      <c r="T204" s="5">
        <v>151.30000000000001</v>
      </c>
      <c r="U204" s="5" t="s">
        <v>32</v>
      </c>
      <c r="V204" s="5">
        <v>147.69999999999999</v>
      </c>
      <c r="W204" s="5">
        <v>143.80000000000001</v>
      </c>
      <c r="X204" s="5">
        <v>139.4</v>
      </c>
      <c r="Y204" s="5">
        <v>128.30000000000001</v>
      </c>
      <c r="Z204" s="5">
        <v>138.6</v>
      </c>
      <c r="AA204" s="5">
        <v>146.9</v>
      </c>
      <c r="AB204" s="5">
        <v>131.30000000000001</v>
      </c>
      <c r="AC204" s="5">
        <v>136.6</v>
      </c>
      <c r="AD204" s="5">
        <v>142.5</v>
      </c>
    </row>
    <row r="205" spans="1:30" x14ac:dyDescent="0.35">
      <c r="A205" s="5" t="s">
        <v>33</v>
      </c>
      <c r="B205" s="5">
        <v>2018</v>
      </c>
      <c r="C205" s="5" t="s">
        <v>41</v>
      </c>
      <c r="D205" s="11">
        <v>136.5</v>
      </c>
      <c r="E205" s="5">
        <v>146.4</v>
      </c>
      <c r="F205" s="5">
        <v>136.6</v>
      </c>
      <c r="G205" s="5">
        <v>141.19999999999999</v>
      </c>
      <c r="H205" s="5">
        <v>117.4</v>
      </c>
      <c r="I205" s="5">
        <v>146.30000000000001</v>
      </c>
      <c r="J205" s="5">
        <v>157.30000000000001</v>
      </c>
      <c r="K205" s="5">
        <v>113.6</v>
      </c>
      <c r="L205" s="5">
        <v>113.3</v>
      </c>
      <c r="M205" s="5">
        <v>141.1</v>
      </c>
      <c r="N205" s="5">
        <v>127.4</v>
      </c>
      <c r="O205" s="5">
        <v>150.4</v>
      </c>
      <c r="P205" s="5">
        <v>140.1</v>
      </c>
      <c r="Q205" s="5">
        <v>162.1</v>
      </c>
      <c r="R205" s="5">
        <v>140</v>
      </c>
      <c r="S205" s="5">
        <v>129</v>
      </c>
      <c r="T205" s="5">
        <v>138.30000000000001</v>
      </c>
      <c r="U205" s="5">
        <v>144.6</v>
      </c>
      <c r="V205" s="5">
        <v>129.80000000000001</v>
      </c>
      <c r="W205" s="5">
        <v>134.4</v>
      </c>
      <c r="X205" s="5">
        <v>134.9</v>
      </c>
      <c r="Y205" s="5">
        <v>120.7</v>
      </c>
      <c r="Z205" s="5">
        <v>129.80000000000001</v>
      </c>
      <c r="AA205" s="5">
        <v>145.30000000000001</v>
      </c>
      <c r="AB205" s="5">
        <v>128.30000000000001</v>
      </c>
      <c r="AC205" s="5">
        <v>131</v>
      </c>
      <c r="AD205" s="5">
        <v>138</v>
      </c>
    </row>
    <row r="206" spans="1:30" x14ac:dyDescent="0.35">
      <c r="A206" s="5" t="s">
        <v>34</v>
      </c>
      <c r="B206" s="5">
        <v>2018</v>
      </c>
      <c r="C206" s="5" t="s">
        <v>41</v>
      </c>
      <c r="D206" s="11">
        <v>138.30000000000001</v>
      </c>
      <c r="E206" s="5">
        <v>148</v>
      </c>
      <c r="F206" s="5">
        <v>138.1</v>
      </c>
      <c r="G206" s="5">
        <v>142.6</v>
      </c>
      <c r="H206" s="5">
        <v>122.2</v>
      </c>
      <c r="I206" s="5">
        <v>150.6</v>
      </c>
      <c r="J206" s="5">
        <v>156.6</v>
      </c>
      <c r="K206" s="5">
        <v>122.4</v>
      </c>
      <c r="L206" s="5">
        <v>114.7</v>
      </c>
      <c r="M206" s="5">
        <v>139.4</v>
      </c>
      <c r="N206" s="5">
        <v>131.1</v>
      </c>
      <c r="O206" s="5">
        <v>153</v>
      </c>
      <c r="P206" s="5">
        <v>141.69999999999999</v>
      </c>
      <c r="Q206" s="5">
        <v>157.9</v>
      </c>
      <c r="R206" s="5">
        <v>147.30000000000001</v>
      </c>
      <c r="S206" s="5">
        <v>138.80000000000001</v>
      </c>
      <c r="T206" s="5">
        <v>146.1</v>
      </c>
      <c r="U206" s="5">
        <v>144.6</v>
      </c>
      <c r="V206" s="5">
        <v>140.9</v>
      </c>
      <c r="W206" s="5">
        <v>139.4</v>
      </c>
      <c r="X206" s="5">
        <v>137.69999999999999</v>
      </c>
      <c r="Y206" s="5">
        <v>124.3</v>
      </c>
      <c r="Z206" s="5">
        <v>133.6</v>
      </c>
      <c r="AA206" s="5">
        <v>146</v>
      </c>
      <c r="AB206" s="5">
        <v>130.1</v>
      </c>
      <c r="AC206" s="5">
        <v>133.9</v>
      </c>
      <c r="AD206" s="5">
        <v>140.4</v>
      </c>
    </row>
    <row r="207" spans="1:30" x14ac:dyDescent="0.35">
      <c r="A207" s="5" t="s">
        <v>30</v>
      </c>
      <c r="B207" s="5">
        <v>2018</v>
      </c>
      <c r="C207" s="5" t="s">
        <v>42</v>
      </c>
      <c r="D207" s="11">
        <v>139.4</v>
      </c>
      <c r="E207" s="5">
        <v>147.19999999999999</v>
      </c>
      <c r="F207" s="5">
        <v>136.6</v>
      </c>
      <c r="G207" s="5">
        <v>143.69999999999999</v>
      </c>
      <c r="H207" s="5">
        <v>124.6</v>
      </c>
      <c r="I207" s="5">
        <v>150.1</v>
      </c>
      <c r="J207" s="5">
        <v>149.4</v>
      </c>
      <c r="K207" s="5">
        <v>125.4</v>
      </c>
      <c r="L207" s="5">
        <v>114.4</v>
      </c>
      <c r="M207" s="5">
        <v>138.69999999999999</v>
      </c>
      <c r="N207" s="5">
        <v>133.1</v>
      </c>
      <c r="O207" s="5">
        <v>155.9</v>
      </c>
      <c r="P207" s="5">
        <v>141.30000000000001</v>
      </c>
      <c r="Q207" s="5">
        <v>157.69999999999999</v>
      </c>
      <c r="R207" s="5">
        <v>152.1</v>
      </c>
      <c r="S207" s="5">
        <v>146.1</v>
      </c>
      <c r="T207" s="5">
        <v>151.30000000000001</v>
      </c>
      <c r="U207" s="5" t="s">
        <v>32</v>
      </c>
      <c r="V207" s="5">
        <v>149</v>
      </c>
      <c r="W207" s="5">
        <v>144</v>
      </c>
      <c r="X207" s="5">
        <v>140</v>
      </c>
      <c r="Y207" s="5">
        <v>129.9</v>
      </c>
      <c r="Z207" s="5">
        <v>140</v>
      </c>
      <c r="AA207" s="5">
        <v>147.6</v>
      </c>
      <c r="AB207" s="5">
        <v>132</v>
      </c>
      <c r="AC207" s="5">
        <v>137.4</v>
      </c>
      <c r="AD207" s="5">
        <v>142.1</v>
      </c>
    </row>
    <row r="208" spans="1:30" x14ac:dyDescent="0.35">
      <c r="A208" s="5" t="s">
        <v>33</v>
      </c>
      <c r="B208" s="5">
        <v>2018</v>
      </c>
      <c r="C208" s="5" t="s">
        <v>42</v>
      </c>
      <c r="D208" s="11">
        <v>137</v>
      </c>
      <c r="E208" s="5">
        <v>143.1</v>
      </c>
      <c r="F208" s="5">
        <v>132.80000000000001</v>
      </c>
      <c r="G208" s="5">
        <v>141.5</v>
      </c>
      <c r="H208" s="5">
        <v>117.8</v>
      </c>
      <c r="I208" s="5">
        <v>140</v>
      </c>
      <c r="J208" s="5">
        <v>151.30000000000001</v>
      </c>
      <c r="K208" s="5">
        <v>113.5</v>
      </c>
      <c r="L208" s="5">
        <v>112.3</v>
      </c>
      <c r="M208" s="5">
        <v>141.19999999999999</v>
      </c>
      <c r="N208" s="5">
        <v>127.7</v>
      </c>
      <c r="O208" s="5">
        <v>151.30000000000001</v>
      </c>
      <c r="P208" s="5">
        <v>138.9</v>
      </c>
      <c r="Q208" s="5">
        <v>163.30000000000001</v>
      </c>
      <c r="R208" s="5">
        <v>140.80000000000001</v>
      </c>
      <c r="S208" s="5">
        <v>129.30000000000001</v>
      </c>
      <c r="T208" s="5">
        <v>139.1</v>
      </c>
      <c r="U208" s="5">
        <v>145.30000000000001</v>
      </c>
      <c r="V208" s="5">
        <v>131.19999999999999</v>
      </c>
      <c r="W208" s="5">
        <v>134.9</v>
      </c>
      <c r="X208" s="5">
        <v>135.69999999999999</v>
      </c>
      <c r="Y208" s="5">
        <v>122.5</v>
      </c>
      <c r="Z208" s="5">
        <v>130.19999999999999</v>
      </c>
      <c r="AA208" s="5">
        <v>145.19999999999999</v>
      </c>
      <c r="AB208" s="5">
        <v>129.30000000000001</v>
      </c>
      <c r="AC208" s="5">
        <v>131.9</v>
      </c>
      <c r="AD208" s="5">
        <v>138.1</v>
      </c>
    </row>
    <row r="209" spans="1:30" x14ac:dyDescent="0.35">
      <c r="A209" s="5" t="s">
        <v>34</v>
      </c>
      <c r="B209" s="5">
        <v>2018</v>
      </c>
      <c r="C209" s="5" t="s">
        <v>42</v>
      </c>
      <c r="D209" s="11">
        <v>138.6</v>
      </c>
      <c r="E209" s="5">
        <v>145.80000000000001</v>
      </c>
      <c r="F209" s="5">
        <v>135.1</v>
      </c>
      <c r="G209" s="5">
        <v>142.9</v>
      </c>
      <c r="H209" s="5">
        <v>122.1</v>
      </c>
      <c r="I209" s="5">
        <v>145.4</v>
      </c>
      <c r="J209" s="5">
        <v>150</v>
      </c>
      <c r="K209" s="5">
        <v>121.4</v>
      </c>
      <c r="L209" s="5">
        <v>113.7</v>
      </c>
      <c r="M209" s="5">
        <v>139.5</v>
      </c>
      <c r="N209" s="5">
        <v>130.80000000000001</v>
      </c>
      <c r="O209" s="5">
        <v>153.80000000000001</v>
      </c>
      <c r="P209" s="5">
        <v>140.4</v>
      </c>
      <c r="Q209" s="5">
        <v>159.19999999999999</v>
      </c>
      <c r="R209" s="5">
        <v>147.69999999999999</v>
      </c>
      <c r="S209" s="5">
        <v>139.1</v>
      </c>
      <c r="T209" s="5">
        <v>146.5</v>
      </c>
      <c r="U209" s="5">
        <v>145.30000000000001</v>
      </c>
      <c r="V209" s="5">
        <v>142.30000000000001</v>
      </c>
      <c r="W209" s="5">
        <v>139.69999999999999</v>
      </c>
      <c r="X209" s="5">
        <v>138.4</v>
      </c>
      <c r="Y209" s="5">
        <v>126</v>
      </c>
      <c r="Z209" s="5">
        <v>134.5</v>
      </c>
      <c r="AA209" s="5">
        <v>146.19999999999999</v>
      </c>
      <c r="AB209" s="5">
        <v>130.9</v>
      </c>
      <c r="AC209" s="5">
        <v>134.69999999999999</v>
      </c>
      <c r="AD209" s="5">
        <v>140.19999999999999</v>
      </c>
    </row>
    <row r="210" spans="1:30" x14ac:dyDescent="0.35">
      <c r="A210" s="5" t="s">
        <v>30</v>
      </c>
      <c r="B210" s="5">
        <v>2018</v>
      </c>
      <c r="C210" s="5" t="s">
        <v>43</v>
      </c>
      <c r="D210" s="11">
        <v>139.30000000000001</v>
      </c>
      <c r="E210" s="5">
        <v>147.6</v>
      </c>
      <c r="F210" s="5">
        <v>134.6</v>
      </c>
      <c r="G210" s="5">
        <v>141.9</v>
      </c>
      <c r="H210" s="5">
        <v>123.5</v>
      </c>
      <c r="I210" s="5">
        <v>144.5</v>
      </c>
      <c r="J210" s="5">
        <v>147.6</v>
      </c>
      <c r="K210" s="5">
        <v>121.4</v>
      </c>
      <c r="L210" s="5">
        <v>112.3</v>
      </c>
      <c r="M210" s="5">
        <v>139.5</v>
      </c>
      <c r="N210" s="5">
        <v>134.6</v>
      </c>
      <c r="O210" s="5">
        <v>155.19999999999999</v>
      </c>
      <c r="P210" s="5">
        <v>140.19999999999999</v>
      </c>
      <c r="Q210" s="5">
        <v>159.6</v>
      </c>
      <c r="R210" s="5">
        <v>150.69999999999999</v>
      </c>
      <c r="S210" s="5">
        <v>144.5</v>
      </c>
      <c r="T210" s="5">
        <v>149.80000000000001</v>
      </c>
      <c r="U210" s="5" t="s">
        <v>32</v>
      </c>
      <c r="V210" s="5">
        <v>149.69999999999999</v>
      </c>
      <c r="W210" s="5">
        <v>147.5</v>
      </c>
      <c r="X210" s="5">
        <v>144.80000000000001</v>
      </c>
      <c r="Y210" s="5">
        <v>130.80000000000001</v>
      </c>
      <c r="Z210" s="5">
        <v>140.1</v>
      </c>
      <c r="AA210" s="5">
        <v>148</v>
      </c>
      <c r="AB210" s="5">
        <v>134.4</v>
      </c>
      <c r="AC210" s="5">
        <v>139.80000000000001</v>
      </c>
      <c r="AD210" s="5">
        <v>142.19999999999999</v>
      </c>
    </row>
    <row r="211" spans="1:30" x14ac:dyDescent="0.35">
      <c r="A211" s="5" t="s">
        <v>33</v>
      </c>
      <c r="B211" s="5">
        <v>2018</v>
      </c>
      <c r="C211" s="5" t="s">
        <v>43</v>
      </c>
      <c r="D211" s="11">
        <v>137.6</v>
      </c>
      <c r="E211" s="5">
        <v>144.9</v>
      </c>
      <c r="F211" s="5">
        <v>133.5</v>
      </c>
      <c r="G211" s="5">
        <v>141.5</v>
      </c>
      <c r="H211" s="5">
        <v>118</v>
      </c>
      <c r="I211" s="5">
        <v>139.5</v>
      </c>
      <c r="J211" s="5">
        <v>153</v>
      </c>
      <c r="K211" s="5">
        <v>113.2</v>
      </c>
      <c r="L211" s="5">
        <v>112.8</v>
      </c>
      <c r="M211" s="5">
        <v>141.1</v>
      </c>
      <c r="N211" s="5">
        <v>127.6</v>
      </c>
      <c r="O211" s="5">
        <v>152</v>
      </c>
      <c r="P211" s="5">
        <v>139.4</v>
      </c>
      <c r="Q211" s="5">
        <v>164</v>
      </c>
      <c r="R211" s="5">
        <v>141.5</v>
      </c>
      <c r="S211" s="5">
        <v>129.80000000000001</v>
      </c>
      <c r="T211" s="5">
        <v>139.69999999999999</v>
      </c>
      <c r="U211" s="5">
        <v>146.30000000000001</v>
      </c>
      <c r="V211" s="5">
        <v>133.4</v>
      </c>
      <c r="W211" s="5">
        <v>135.1</v>
      </c>
      <c r="X211" s="5">
        <v>136.19999999999999</v>
      </c>
      <c r="Y211" s="5">
        <v>123.3</v>
      </c>
      <c r="Z211" s="5">
        <v>130.69999999999999</v>
      </c>
      <c r="AA211" s="5">
        <v>145.5</v>
      </c>
      <c r="AB211" s="5">
        <v>130.4</v>
      </c>
      <c r="AC211" s="5">
        <v>132.5</v>
      </c>
      <c r="AD211" s="5">
        <v>138.9</v>
      </c>
    </row>
    <row r="212" spans="1:30" x14ac:dyDescent="0.35">
      <c r="A212" s="5" t="s">
        <v>34</v>
      </c>
      <c r="B212" s="5">
        <v>2018</v>
      </c>
      <c r="C212" s="5" t="s">
        <v>43</v>
      </c>
      <c r="D212" s="11">
        <v>137.4</v>
      </c>
      <c r="E212" s="5">
        <v>149.5</v>
      </c>
      <c r="F212" s="5">
        <v>137.30000000000001</v>
      </c>
      <c r="G212" s="5">
        <v>141.9</v>
      </c>
      <c r="H212" s="5">
        <v>121.1</v>
      </c>
      <c r="I212" s="5">
        <v>142.5</v>
      </c>
      <c r="J212" s="5">
        <v>146.69999999999999</v>
      </c>
      <c r="K212" s="5">
        <v>119.1</v>
      </c>
      <c r="L212" s="5">
        <v>111.9</v>
      </c>
      <c r="M212" s="5">
        <v>141</v>
      </c>
      <c r="N212" s="5">
        <v>133.6</v>
      </c>
      <c r="O212" s="5">
        <v>154.5</v>
      </c>
      <c r="P212" s="5">
        <v>139.69999999999999</v>
      </c>
      <c r="Q212" s="5">
        <v>162.6</v>
      </c>
      <c r="R212" s="5">
        <v>148</v>
      </c>
      <c r="S212" s="5">
        <v>139.19999999999999</v>
      </c>
      <c r="T212" s="5">
        <v>146.80000000000001</v>
      </c>
      <c r="U212" s="5">
        <v>146.9</v>
      </c>
      <c r="V212" s="5">
        <v>145.30000000000001</v>
      </c>
      <c r="W212" s="5">
        <v>142.19999999999999</v>
      </c>
      <c r="X212" s="5">
        <v>142.1</v>
      </c>
      <c r="Y212" s="5">
        <v>125.5</v>
      </c>
      <c r="Z212" s="5">
        <v>136.5</v>
      </c>
      <c r="AA212" s="5">
        <v>147.80000000000001</v>
      </c>
      <c r="AB212" s="5">
        <v>132</v>
      </c>
      <c r="AC212" s="5">
        <v>136.30000000000001</v>
      </c>
      <c r="AD212" s="5">
        <v>140.80000000000001</v>
      </c>
    </row>
    <row r="213" spans="1:30" x14ac:dyDescent="0.35">
      <c r="A213" s="5" t="s">
        <v>30</v>
      </c>
      <c r="B213" s="5">
        <v>2018</v>
      </c>
      <c r="C213" s="5" t="s">
        <v>45</v>
      </c>
      <c r="D213" s="11">
        <v>137.1</v>
      </c>
      <c r="E213" s="5">
        <v>150.80000000000001</v>
      </c>
      <c r="F213" s="5">
        <v>136.69999999999999</v>
      </c>
      <c r="G213" s="5">
        <v>141.9</v>
      </c>
      <c r="H213" s="5">
        <v>122.8</v>
      </c>
      <c r="I213" s="5">
        <v>143.9</v>
      </c>
      <c r="J213" s="5">
        <v>147.5</v>
      </c>
      <c r="K213" s="5">
        <v>121</v>
      </c>
      <c r="L213" s="5">
        <v>111.6</v>
      </c>
      <c r="M213" s="5">
        <v>140.6</v>
      </c>
      <c r="N213" s="5">
        <v>137.5</v>
      </c>
      <c r="O213" s="5">
        <v>156.1</v>
      </c>
      <c r="P213" s="5">
        <v>140</v>
      </c>
      <c r="Q213" s="5">
        <v>161.9</v>
      </c>
      <c r="R213" s="5">
        <v>151.69999999999999</v>
      </c>
      <c r="S213" s="5">
        <v>145.5</v>
      </c>
      <c r="T213" s="5">
        <v>150.80000000000001</v>
      </c>
      <c r="U213" s="5" t="s">
        <v>32</v>
      </c>
      <c r="V213" s="5">
        <v>150.30000000000001</v>
      </c>
      <c r="W213" s="5">
        <v>148</v>
      </c>
      <c r="X213" s="5">
        <v>145.4</v>
      </c>
      <c r="Y213" s="5">
        <v>130.30000000000001</v>
      </c>
      <c r="Z213" s="5">
        <v>143.1</v>
      </c>
      <c r="AA213" s="5">
        <v>150.19999999999999</v>
      </c>
      <c r="AB213" s="5">
        <v>133.1</v>
      </c>
      <c r="AC213" s="5">
        <v>140.1</v>
      </c>
      <c r="AD213" s="5">
        <v>142.4</v>
      </c>
    </row>
    <row r="214" spans="1:30" x14ac:dyDescent="0.35">
      <c r="A214" s="5" t="s">
        <v>33</v>
      </c>
      <c r="B214" s="5">
        <v>2018</v>
      </c>
      <c r="C214" s="5" t="s">
        <v>45</v>
      </c>
      <c r="D214" s="11">
        <v>138.1</v>
      </c>
      <c r="E214" s="5">
        <v>146.30000000000001</v>
      </c>
      <c r="F214" s="5">
        <v>137.80000000000001</v>
      </c>
      <c r="G214" s="5">
        <v>141.6</v>
      </c>
      <c r="H214" s="5">
        <v>118.1</v>
      </c>
      <c r="I214" s="5">
        <v>141.5</v>
      </c>
      <c r="J214" s="5">
        <v>145.19999999999999</v>
      </c>
      <c r="K214" s="5">
        <v>115.3</v>
      </c>
      <c r="L214" s="5">
        <v>112.5</v>
      </c>
      <c r="M214" s="5">
        <v>141.4</v>
      </c>
      <c r="N214" s="5">
        <v>128</v>
      </c>
      <c r="O214" s="5">
        <v>152.6</v>
      </c>
      <c r="P214" s="5">
        <v>139.1</v>
      </c>
      <c r="Q214" s="5">
        <v>164.4</v>
      </c>
      <c r="R214" s="5">
        <v>142.4</v>
      </c>
      <c r="S214" s="5">
        <v>130.19999999999999</v>
      </c>
      <c r="T214" s="5">
        <v>140.5</v>
      </c>
      <c r="U214" s="5">
        <v>146.9</v>
      </c>
      <c r="V214" s="5">
        <v>136.69999999999999</v>
      </c>
      <c r="W214" s="5">
        <v>135.80000000000001</v>
      </c>
      <c r="X214" s="5">
        <v>136.80000000000001</v>
      </c>
      <c r="Y214" s="5">
        <v>121.2</v>
      </c>
      <c r="Z214" s="5">
        <v>131.30000000000001</v>
      </c>
      <c r="AA214" s="5">
        <v>146.1</v>
      </c>
      <c r="AB214" s="5">
        <v>130.5</v>
      </c>
      <c r="AC214" s="5">
        <v>132.19999999999999</v>
      </c>
      <c r="AD214" s="5">
        <v>139</v>
      </c>
    </row>
    <row r="215" spans="1:30" x14ac:dyDescent="0.35">
      <c r="A215" s="5" t="s">
        <v>34</v>
      </c>
      <c r="B215" s="5">
        <v>2018</v>
      </c>
      <c r="C215" s="5" t="s">
        <v>45</v>
      </c>
      <c r="D215" s="11">
        <v>137.4</v>
      </c>
      <c r="E215" s="5">
        <v>149.19999999999999</v>
      </c>
      <c r="F215" s="5">
        <v>137.1</v>
      </c>
      <c r="G215" s="5">
        <v>141.80000000000001</v>
      </c>
      <c r="H215" s="5">
        <v>121.1</v>
      </c>
      <c r="I215" s="5">
        <v>142.80000000000001</v>
      </c>
      <c r="J215" s="5">
        <v>146.69999999999999</v>
      </c>
      <c r="K215" s="5">
        <v>119.1</v>
      </c>
      <c r="L215" s="5">
        <v>111.9</v>
      </c>
      <c r="M215" s="5">
        <v>140.9</v>
      </c>
      <c r="N215" s="5">
        <v>133.5</v>
      </c>
      <c r="O215" s="5">
        <v>154.5</v>
      </c>
      <c r="P215" s="5">
        <v>139.69999999999999</v>
      </c>
      <c r="Q215" s="5">
        <v>162.6</v>
      </c>
      <c r="R215" s="5">
        <v>148</v>
      </c>
      <c r="S215" s="5">
        <v>139.1</v>
      </c>
      <c r="T215" s="5">
        <v>146.69999999999999</v>
      </c>
      <c r="U215" s="5">
        <v>146.9</v>
      </c>
      <c r="V215" s="5">
        <v>145.1</v>
      </c>
      <c r="W215" s="5">
        <v>142.19999999999999</v>
      </c>
      <c r="X215" s="5">
        <v>142.1</v>
      </c>
      <c r="Y215" s="5">
        <v>125.5</v>
      </c>
      <c r="Z215" s="5">
        <v>136.5</v>
      </c>
      <c r="AA215" s="5">
        <v>147.80000000000001</v>
      </c>
      <c r="AB215" s="5">
        <v>132</v>
      </c>
      <c r="AC215" s="5">
        <v>136.30000000000001</v>
      </c>
      <c r="AD215" s="5">
        <v>140.80000000000001</v>
      </c>
    </row>
    <row r="216" spans="1:30" x14ac:dyDescent="0.35">
      <c r="A216" s="5" t="s">
        <v>30</v>
      </c>
      <c r="B216" s="5">
        <v>2018</v>
      </c>
      <c r="C216" s="5" t="s">
        <v>46</v>
      </c>
      <c r="D216" s="11">
        <v>137.1</v>
      </c>
      <c r="E216" s="5">
        <v>151.9</v>
      </c>
      <c r="F216" s="5">
        <v>137.4</v>
      </c>
      <c r="G216" s="5">
        <v>142.4</v>
      </c>
      <c r="H216" s="5">
        <v>124.2</v>
      </c>
      <c r="I216" s="5">
        <v>140.19999999999999</v>
      </c>
      <c r="J216" s="5">
        <v>136.6</v>
      </c>
      <c r="K216" s="5">
        <v>120.9</v>
      </c>
      <c r="L216" s="5">
        <v>109.9</v>
      </c>
      <c r="M216" s="5">
        <v>140.19999999999999</v>
      </c>
      <c r="N216" s="5">
        <v>137.80000000000001</v>
      </c>
      <c r="O216" s="5">
        <v>156</v>
      </c>
      <c r="P216" s="5">
        <v>138.5</v>
      </c>
      <c r="Q216" s="5">
        <v>162.4</v>
      </c>
      <c r="R216" s="5">
        <v>151.6</v>
      </c>
      <c r="S216" s="5">
        <v>145.9</v>
      </c>
      <c r="T216" s="5">
        <v>150.80000000000001</v>
      </c>
      <c r="U216" s="5" t="s">
        <v>32</v>
      </c>
      <c r="V216" s="5">
        <v>149</v>
      </c>
      <c r="W216" s="5">
        <v>149.5</v>
      </c>
      <c r="X216" s="5">
        <v>149.6</v>
      </c>
      <c r="Y216" s="5">
        <v>128.9</v>
      </c>
      <c r="Z216" s="5">
        <v>143.30000000000001</v>
      </c>
      <c r="AA216" s="5">
        <v>155.1</v>
      </c>
      <c r="AB216" s="5">
        <v>133.19999999999999</v>
      </c>
      <c r="AC216" s="5">
        <v>141.6</v>
      </c>
      <c r="AD216" s="5">
        <v>141.9</v>
      </c>
    </row>
    <row r="217" spans="1:30" x14ac:dyDescent="0.35">
      <c r="A217" s="5" t="s">
        <v>33</v>
      </c>
      <c r="B217" s="5">
        <v>2018</v>
      </c>
      <c r="C217" s="5" t="s">
        <v>46</v>
      </c>
      <c r="D217" s="11">
        <v>138.5</v>
      </c>
      <c r="E217" s="5">
        <v>147.80000000000001</v>
      </c>
      <c r="F217" s="5">
        <v>141.1</v>
      </c>
      <c r="G217" s="5">
        <v>141.6</v>
      </c>
      <c r="H217" s="5">
        <v>118.1</v>
      </c>
      <c r="I217" s="5">
        <v>138.5</v>
      </c>
      <c r="J217" s="5">
        <v>132.4</v>
      </c>
      <c r="K217" s="5">
        <v>117.5</v>
      </c>
      <c r="L217" s="5">
        <v>111</v>
      </c>
      <c r="M217" s="5">
        <v>141.5</v>
      </c>
      <c r="N217" s="5">
        <v>128.1</v>
      </c>
      <c r="O217" s="5">
        <v>152.9</v>
      </c>
      <c r="P217" s="5">
        <v>137.6</v>
      </c>
      <c r="Q217" s="5">
        <v>164.6</v>
      </c>
      <c r="R217" s="5">
        <v>142.69999999999999</v>
      </c>
      <c r="S217" s="5">
        <v>130.30000000000001</v>
      </c>
      <c r="T217" s="5">
        <v>140.80000000000001</v>
      </c>
      <c r="U217" s="5">
        <v>146.5</v>
      </c>
      <c r="V217" s="5">
        <v>132.4</v>
      </c>
      <c r="W217" s="5">
        <v>136.19999999999999</v>
      </c>
      <c r="X217" s="5">
        <v>137.30000000000001</v>
      </c>
      <c r="Y217" s="5">
        <v>118.8</v>
      </c>
      <c r="Z217" s="5">
        <v>131.69999999999999</v>
      </c>
      <c r="AA217" s="5">
        <v>146.5</v>
      </c>
      <c r="AB217" s="5">
        <v>130.80000000000001</v>
      </c>
      <c r="AC217" s="5">
        <v>131.69999999999999</v>
      </c>
      <c r="AD217" s="5">
        <v>138</v>
      </c>
    </row>
    <row r="218" spans="1:30" x14ac:dyDescent="0.35">
      <c r="A218" s="5" t="s">
        <v>34</v>
      </c>
      <c r="B218" s="5">
        <v>2018</v>
      </c>
      <c r="C218" s="5" t="s">
        <v>46</v>
      </c>
      <c r="D218" s="11">
        <v>137.5</v>
      </c>
      <c r="E218" s="5">
        <v>150.5</v>
      </c>
      <c r="F218" s="5">
        <v>138.80000000000001</v>
      </c>
      <c r="G218" s="5">
        <v>142.1</v>
      </c>
      <c r="H218" s="5">
        <v>122</v>
      </c>
      <c r="I218" s="5">
        <v>139.4</v>
      </c>
      <c r="J218" s="5">
        <v>135.19999999999999</v>
      </c>
      <c r="K218" s="5">
        <v>119.8</v>
      </c>
      <c r="L218" s="5">
        <v>110.3</v>
      </c>
      <c r="M218" s="5">
        <v>140.6</v>
      </c>
      <c r="N218" s="5">
        <v>133.80000000000001</v>
      </c>
      <c r="O218" s="5">
        <v>154.6</v>
      </c>
      <c r="P218" s="5">
        <v>138.19999999999999</v>
      </c>
      <c r="Q218" s="5">
        <v>163</v>
      </c>
      <c r="R218" s="5">
        <v>148.1</v>
      </c>
      <c r="S218" s="5">
        <v>139.4</v>
      </c>
      <c r="T218" s="5">
        <v>146.80000000000001</v>
      </c>
      <c r="U218" s="5">
        <v>146.5</v>
      </c>
      <c r="V218" s="5">
        <v>142.69999999999999</v>
      </c>
      <c r="W218" s="5">
        <v>143.19999999999999</v>
      </c>
      <c r="X218" s="5">
        <v>144.9</v>
      </c>
      <c r="Y218" s="5">
        <v>123.6</v>
      </c>
      <c r="Z218" s="5">
        <v>136.80000000000001</v>
      </c>
      <c r="AA218" s="5">
        <v>150.1</v>
      </c>
      <c r="AB218" s="5">
        <v>132.19999999999999</v>
      </c>
      <c r="AC218" s="5">
        <v>136.80000000000001</v>
      </c>
      <c r="AD218" s="5">
        <v>140.1</v>
      </c>
    </row>
    <row r="219" spans="1:30" x14ac:dyDescent="0.35">
      <c r="A219" s="5" t="s">
        <v>30</v>
      </c>
      <c r="B219" s="5">
        <v>2019</v>
      </c>
      <c r="C219" s="5" t="s">
        <v>31</v>
      </c>
      <c r="D219" s="11">
        <v>136.6</v>
      </c>
      <c r="E219" s="5">
        <v>152.5</v>
      </c>
      <c r="F219" s="5">
        <v>138.19999999999999</v>
      </c>
      <c r="G219" s="5">
        <v>142.4</v>
      </c>
      <c r="H219" s="5">
        <v>123.9</v>
      </c>
      <c r="I219" s="5">
        <v>135.5</v>
      </c>
      <c r="J219" s="5">
        <v>131.69999999999999</v>
      </c>
      <c r="K219" s="5">
        <v>121.3</v>
      </c>
      <c r="L219" s="5">
        <v>108.4</v>
      </c>
      <c r="M219" s="5">
        <v>138.9</v>
      </c>
      <c r="N219" s="5">
        <v>137</v>
      </c>
      <c r="O219" s="5">
        <v>155.80000000000001</v>
      </c>
      <c r="P219" s="5">
        <v>137.4</v>
      </c>
      <c r="Q219" s="5">
        <v>162.69999999999999</v>
      </c>
      <c r="R219" s="5">
        <v>150.6</v>
      </c>
      <c r="S219" s="5">
        <v>145.1</v>
      </c>
      <c r="T219" s="5">
        <v>149.9</v>
      </c>
      <c r="U219" s="5" t="s">
        <v>32</v>
      </c>
      <c r="V219" s="5">
        <v>146.19999999999999</v>
      </c>
      <c r="W219" s="5">
        <v>150.1</v>
      </c>
      <c r="X219" s="5">
        <v>149.6</v>
      </c>
      <c r="Y219" s="5">
        <v>128.6</v>
      </c>
      <c r="Z219" s="5">
        <v>142.9</v>
      </c>
      <c r="AA219" s="5">
        <v>155.19999999999999</v>
      </c>
      <c r="AB219" s="5">
        <v>133.5</v>
      </c>
      <c r="AC219" s="5">
        <v>141.69999999999999</v>
      </c>
      <c r="AD219" s="5">
        <v>141</v>
      </c>
    </row>
    <row r="220" spans="1:30" x14ac:dyDescent="0.35">
      <c r="A220" s="5" t="s">
        <v>33</v>
      </c>
      <c r="B220" s="5">
        <v>2019</v>
      </c>
      <c r="C220" s="5" t="s">
        <v>31</v>
      </c>
      <c r="D220" s="11">
        <v>138.30000000000001</v>
      </c>
      <c r="E220" s="5">
        <v>149.4</v>
      </c>
      <c r="F220" s="5">
        <v>143.5</v>
      </c>
      <c r="G220" s="5">
        <v>141.69999999999999</v>
      </c>
      <c r="H220" s="5">
        <v>118.1</v>
      </c>
      <c r="I220" s="5">
        <v>135.19999999999999</v>
      </c>
      <c r="J220" s="5">
        <v>130.5</v>
      </c>
      <c r="K220" s="5">
        <v>118.2</v>
      </c>
      <c r="L220" s="5">
        <v>110.4</v>
      </c>
      <c r="M220" s="5">
        <v>140.4</v>
      </c>
      <c r="N220" s="5">
        <v>128.1</v>
      </c>
      <c r="O220" s="5">
        <v>153.19999999999999</v>
      </c>
      <c r="P220" s="5">
        <v>137.30000000000001</v>
      </c>
      <c r="Q220" s="5">
        <v>164.7</v>
      </c>
      <c r="R220" s="5">
        <v>143</v>
      </c>
      <c r="S220" s="5">
        <v>130.4</v>
      </c>
      <c r="T220" s="5">
        <v>141.1</v>
      </c>
      <c r="U220" s="5">
        <v>147.69999999999999</v>
      </c>
      <c r="V220" s="5">
        <v>128.6</v>
      </c>
      <c r="W220" s="5">
        <v>136.30000000000001</v>
      </c>
      <c r="X220" s="5">
        <v>137.80000000000001</v>
      </c>
      <c r="Y220" s="5">
        <v>118.6</v>
      </c>
      <c r="Z220" s="5">
        <v>131.9</v>
      </c>
      <c r="AA220" s="5">
        <v>146.6</v>
      </c>
      <c r="AB220" s="5">
        <v>131.69999999999999</v>
      </c>
      <c r="AC220" s="5">
        <v>131.80000000000001</v>
      </c>
      <c r="AD220" s="5">
        <v>138</v>
      </c>
    </row>
    <row r="221" spans="1:30" x14ac:dyDescent="0.35">
      <c r="A221" s="5" t="s">
        <v>34</v>
      </c>
      <c r="B221" s="5">
        <v>2019</v>
      </c>
      <c r="C221" s="5" t="s">
        <v>31</v>
      </c>
      <c r="D221" s="11">
        <v>137.1</v>
      </c>
      <c r="E221" s="5">
        <v>151.4</v>
      </c>
      <c r="F221" s="5">
        <v>140.19999999999999</v>
      </c>
      <c r="G221" s="5">
        <v>142.1</v>
      </c>
      <c r="H221" s="5">
        <v>121.8</v>
      </c>
      <c r="I221" s="5">
        <v>135.4</v>
      </c>
      <c r="J221" s="5">
        <v>131.30000000000001</v>
      </c>
      <c r="K221" s="5">
        <v>120.3</v>
      </c>
      <c r="L221" s="5">
        <v>109.1</v>
      </c>
      <c r="M221" s="5">
        <v>139.4</v>
      </c>
      <c r="N221" s="5">
        <v>133.30000000000001</v>
      </c>
      <c r="O221" s="5">
        <v>154.6</v>
      </c>
      <c r="P221" s="5">
        <v>137.4</v>
      </c>
      <c r="Q221" s="5">
        <v>163.19999999999999</v>
      </c>
      <c r="R221" s="5">
        <v>147.6</v>
      </c>
      <c r="S221" s="5">
        <v>139</v>
      </c>
      <c r="T221" s="5">
        <v>146.4</v>
      </c>
      <c r="U221" s="5">
        <v>147.69999999999999</v>
      </c>
      <c r="V221" s="5">
        <v>139.5</v>
      </c>
      <c r="W221" s="5">
        <v>143.6</v>
      </c>
      <c r="X221" s="5">
        <v>145.1</v>
      </c>
      <c r="Y221" s="5">
        <v>123.3</v>
      </c>
      <c r="Z221" s="5">
        <v>136.69999999999999</v>
      </c>
      <c r="AA221" s="5">
        <v>150.19999999999999</v>
      </c>
      <c r="AB221" s="5">
        <v>132.80000000000001</v>
      </c>
      <c r="AC221" s="5">
        <v>136.9</v>
      </c>
      <c r="AD221" s="5">
        <v>139.6</v>
      </c>
    </row>
    <row r="222" spans="1:30" x14ac:dyDescent="0.35">
      <c r="A222" s="5" t="s">
        <v>30</v>
      </c>
      <c r="B222" s="5">
        <v>2019</v>
      </c>
      <c r="C222" s="5" t="s">
        <v>35</v>
      </c>
      <c r="D222" s="11">
        <v>136.80000000000001</v>
      </c>
      <c r="E222" s="5">
        <v>153</v>
      </c>
      <c r="F222" s="5">
        <v>139.1</v>
      </c>
      <c r="G222" s="5">
        <v>142.5</v>
      </c>
      <c r="H222" s="5">
        <v>124.1</v>
      </c>
      <c r="I222" s="5">
        <v>135.80000000000001</v>
      </c>
      <c r="J222" s="5">
        <v>128.69999999999999</v>
      </c>
      <c r="K222" s="5">
        <v>121.5</v>
      </c>
      <c r="L222" s="5">
        <v>108.3</v>
      </c>
      <c r="M222" s="5">
        <v>139.19999999999999</v>
      </c>
      <c r="N222" s="5">
        <v>137.4</v>
      </c>
      <c r="O222" s="5">
        <v>156.19999999999999</v>
      </c>
      <c r="P222" s="5">
        <v>137.19999999999999</v>
      </c>
      <c r="Q222" s="5">
        <v>162.80000000000001</v>
      </c>
      <c r="R222" s="5">
        <v>150.5</v>
      </c>
      <c r="S222" s="5">
        <v>146.1</v>
      </c>
      <c r="T222" s="5">
        <v>149.9</v>
      </c>
      <c r="U222" s="5" t="s">
        <v>32</v>
      </c>
      <c r="V222" s="5">
        <v>145.30000000000001</v>
      </c>
      <c r="W222" s="5">
        <v>150.1</v>
      </c>
      <c r="X222" s="5">
        <v>149.9</v>
      </c>
      <c r="Y222" s="5">
        <v>129.19999999999999</v>
      </c>
      <c r="Z222" s="5">
        <v>143.4</v>
      </c>
      <c r="AA222" s="5">
        <v>155.5</v>
      </c>
      <c r="AB222" s="5">
        <v>134.9</v>
      </c>
      <c r="AC222" s="5">
        <v>142.19999999999999</v>
      </c>
      <c r="AD222" s="5">
        <v>141</v>
      </c>
    </row>
    <row r="223" spans="1:30" x14ac:dyDescent="0.35">
      <c r="A223" s="5" t="s">
        <v>33</v>
      </c>
      <c r="B223" s="5">
        <v>2019</v>
      </c>
      <c r="C223" s="5" t="s">
        <v>35</v>
      </c>
      <c r="D223" s="11">
        <v>139.4</v>
      </c>
      <c r="E223" s="5">
        <v>150.1</v>
      </c>
      <c r="F223" s="5">
        <v>145.30000000000001</v>
      </c>
      <c r="G223" s="5">
        <v>141.69999999999999</v>
      </c>
      <c r="H223" s="5">
        <v>118.4</v>
      </c>
      <c r="I223" s="5">
        <v>137</v>
      </c>
      <c r="J223" s="5">
        <v>131.6</v>
      </c>
      <c r="K223" s="5">
        <v>119.9</v>
      </c>
      <c r="L223" s="5">
        <v>110.4</v>
      </c>
      <c r="M223" s="5">
        <v>140.80000000000001</v>
      </c>
      <c r="N223" s="5">
        <v>128.30000000000001</v>
      </c>
      <c r="O223" s="5">
        <v>153.5</v>
      </c>
      <c r="P223" s="5">
        <v>138</v>
      </c>
      <c r="Q223" s="5">
        <v>164.9</v>
      </c>
      <c r="R223" s="5">
        <v>143.30000000000001</v>
      </c>
      <c r="S223" s="5">
        <v>130.80000000000001</v>
      </c>
      <c r="T223" s="5">
        <v>141.4</v>
      </c>
      <c r="U223" s="5">
        <v>148.5</v>
      </c>
      <c r="V223" s="5">
        <v>127.1</v>
      </c>
      <c r="W223" s="5">
        <v>136.6</v>
      </c>
      <c r="X223" s="5">
        <v>138.5</v>
      </c>
      <c r="Y223" s="5">
        <v>119.2</v>
      </c>
      <c r="Z223" s="5">
        <v>132.19999999999999</v>
      </c>
      <c r="AA223" s="5">
        <v>146.6</v>
      </c>
      <c r="AB223" s="5">
        <v>133</v>
      </c>
      <c r="AC223" s="5">
        <v>132.4</v>
      </c>
      <c r="AD223" s="5">
        <v>138.6</v>
      </c>
    </row>
    <row r="224" spans="1:30" x14ac:dyDescent="0.35">
      <c r="A224" s="5" t="s">
        <v>34</v>
      </c>
      <c r="B224" s="5">
        <v>2019</v>
      </c>
      <c r="C224" s="5" t="s">
        <v>35</v>
      </c>
      <c r="D224" s="11">
        <v>137.6</v>
      </c>
      <c r="E224" s="5">
        <v>152</v>
      </c>
      <c r="F224" s="5">
        <v>141.5</v>
      </c>
      <c r="G224" s="5">
        <v>142.19999999999999</v>
      </c>
      <c r="H224" s="5">
        <v>122</v>
      </c>
      <c r="I224" s="5">
        <v>136.4</v>
      </c>
      <c r="J224" s="5">
        <v>129.69999999999999</v>
      </c>
      <c r="K224" s="5">
        <v>121</v>
      </c>
      <c r="L224" s="5">
        <v>109</v>
      </c>
      <c r="M224" s="5">
        <v>139.69999999999999</v>
      </c>
      <c r="N224" s="5">
        <v>133.6</v>
      </c>
      <c r="O224" s="5">
        <v>154.9</v>
      </c>
      <c r="P224" s="5">
        <v>137.5</v>
      </c>
      <c r="Q224" s="5">
        <v>163.4</v>
      </c>
      <c r="R224" s="5">
        <v>147.69999999999999</v>
      </c>
      <c r="S224" s="5">
        <v>139.69999999999999</v>
      </c>
      <c r="T224" s="5">
        <v>146.5</v>
      </c>
      <c r="U224" s="5">
        <v>148.5</v>
      </c>
      <c r="V224" s="5">
        <v>138.4</v>
      </c>
      <c r="W224" s="5">
        <v>143.69999999999999</v>
      </c>
      <c r="X224" s="5">
        <v>145.6</v>
      </c>
      <c r="Y224" s="5">
        <v>123.9</v>
      </c>
      <c r="Z224" s="5">
        <v>137.1</v>
      </c>
      <c r="AA224" s="5">
        <v>150.30000000000001</v>
      </c>
      <c r="AB224" s="5">
        <v>134.1</v>
      </c>
      <c r="AC224" s="5">
        <v>137.4</v>
      </c>
      <c r="AD224" s="5">
        <v>139.9</v>
      </c>
    </row>
    <row r="225" spans="1:30" x14ac:dyDescent="0.35">
      <c r="A225" s="5" t="s">
        <v>30</v>
      </c>
      <c r="B225" s="5">
        <v>2019</v>
      </c>
      <c r="C225" s="5" t="s">
        <v>36</v>
      </c>
      <c r="D225" s="11">
        <v>136.9</v>
      </c>
      <c r="E225" s="5">
        <v>154.1</v>
      </c>
      <c r="F225" s="5">
        <v>138.69999999999999</v>
      </c>
      <c r="G225" s="5">
        <v>142.5</v>
      </c>
      <c r="H225" s="5">
        <v>124.1</v>
      </c>
      <c r="I225" s="5">
        <v>136.1</v>
      </c>
      <c r="J225" s="5">
        <v>128.19999999999999</v>
      </c>
      <c r="K225" s="5">
        <v>122.3</v>
      </c>
      <c r="L225" s="5">
        <v>108.3</v>
      </c>
      <c r="M225" s="5">
        <v>138.9</v>
      </c>
      <c r="N225" s="5">
        <v>137.4</v>
      </c>
      <c r="O225" s="5">
        <v>156.4</v>
      </c>
      <c r="P225" s="5">
        <v>137.30000000000001</v>
      </c>
      <c r="Q225" s="5">
        <v>162.9</v>
      </c>
      <c r="R225" s="5">
        <v>150.80000000000001</v>
      </c>
      <c r="S225" s="5">
        <v>146.1</v>
      </c>
      <c r="T225" s="5">
        <v>150.1</v>
      </c>
      <c r="U225" s="5" t="s">
        <v>32</v>
      </c>
      <c r="V225" s="5">
        <v>146.4</v>
      </c>
      <c r="W225" s="5">
        <v>150</v>
      </c>
      <c r="X225" s="5">
        <v>150.4</v>
      </c>
      <c r="Y225" s="5">
        <v>129.9</v>
      </c>
      <c r="Z225" s="5">
        <v>143.80000000000001</v>
      </c>
      <c r="AA225" s="5">
        <v>155.5</v>
      </c>
      <c r="AB225" s="5">
        <v>134</v>
      </c>
      <c r="AC225" s="5">
        <v>142.4</v>
      </c>
      <c r="AD225" s="5">
        <v>141.19999999999999</v>
      </c>
    </row>
    <row r="226" spans="1:30" x14ac:dyDescent="0.35">
      <c r="A226" s="5" t="s">
        <v>33</v>
      </c>
      <c r="B226" s="5">
        <v>2019</v>
      </c>
      <c r="C226" s="5" t="s">
        <v>36</v>
      </c>
      <c r="D226" s="11">
        <v>139.69999999999999</v>
      </c>
      <c r="E226" s="5">
        <v>151.1</v>
      </c>
      <c r="F226" s="5">
        <v>142.9</v>
      </c>
      <c r="G226" s="5">
        <v>141.9</v>
      </c>
      <c r="H226" s="5">
        <v>118.4</v>
      </c>
      <c r="I226" s="5">
        <v>139.4</v>
      </c>
      <c r="J226" s="5">
        <v>141.19999999999999</v>
      </c>
      <c r="K226" s="5">
        <v>120.7</v>
      </c>
      <c r="L226" s="5">
        <v>110.4</v>
      </c>
      <c r="M226" s="5">
        <v>140.69999999999999</v>
      </c>
      <c r="N226" s="5">
        <v>128.5</v>
      </c>
      <c r="O226" s="5">
        <v>153.9</v>
      </c>
      <c r="P226" s="5">
        <v>139.6</v>
      </c>
      <c r="Q226" s="5">
        <v>165.3</v>
      </c>
      <c r="R226" s="5">
        <v>143.5</v>
      </c>
      <c r="S226" s="5">
        <v>131.19999999999999</v>
      </c>
      <c r="T226" s="5">
        <v>141.6</v>
      </c>
      <c r="U226" s="5">
        <v>149</v>
      </c>
      <c r="V226" s="5">
        <v>128.80000000000001</v>
      </c>
      <c r="W226" s="5">
        <v>136.80000000000001</v>
      </c>
      <c r="X226" s="5">
        <v>139.19999999999999</v>
      </c>
      <c r="Y226" s="5">
        <v>119.9</v>
      </c>
      <c r="Z226" s="5">
        <v>133</v>
      </c>
      <c r="AA226" s="5">
        <v>146.69999999999999</v>
      </c>
      <c r="AB226" s="5">
        <v>132.5</v>
      </c>
      <c r="AC226" s="5">
        <v>132.80000000000001</v>
      </c>
      <c r="AD226" s="5">
        <v>139.5</v>
      </c>
    </row>
    <row r="227" spans="1:30" x14ac:dyDescent="0.35">
      <c r="A227" s="5" t="s">
        <v>34</v>
      </c>
      <c r="B227" s="5">
        <v>2019</v>
      </c>
      <c r="C227" s="5" t="s">
        <v>36</v>
      </c>
      <c r="D227" s="11">
        <v>137.80000000000001</v>
      </c>
      <c r="E227" s="5">
        <v>153</v>
      </c>
      <c r="F227" s="5">
        <v>140.30000000000001</v>
      </c>
      <c r="G227" s="5">
        <v>142.30000000000001</v>
      </c>
      <c r="H227" s="5">
        <v>122</v>
      </c>
      <c r="I227" s="5">
        <v>137.6</v>
      </c>
      <c r="J227" s="5">
        <v>132.6</v>
      </c>
      <c r="K227" s="5">
        <v>121.8</v>
      </c>
      <c r="L227" s="5">
        <v>109</v>
      </c>
      <c r="M227" s="5">
        <v>139.5</v>
      </c>
      <c r="N227" s="5">
        <v>133.69999999999999</v>
      </c>
      <c r="O227" s="5">
        <v>155.19999999999999</v>
      </c>
      <c r="P227" s="5">
        <v>138.1</v>
      </c>
      <c r="Q227" s="5">
        <v>163.5</v>
      </c>
      <c r="R227" s="5">
        <v>147.9</v>
      </c>
      <c r="S227" s="5">
        <v>139.9</v>
      </c>
      <c r="T227" s="5">
        <v>146.69999999999999</v>
      </c>
      <c r="U227" s="5">
        <v>149</v>
      </c>
      <c r="V227" s="5">
        <v>139.69999999999999</v>
      </c>
      <c r="W227" s="5">
        <v>143.80000000000001</v>
      </c>
      <c r="X227" s="5">
        <v>146.19999999999999</v>
      </c>
      <c r="Y227" s="5">
        <v>124.6</v>
      </c>
      <c r="Z227" s="5">
        <v>137.69999999999999</v>
      </c>
      <c r="AA227" s="5">
        <v>150.30000000000001</v>
      </c>
      <c r="AB227" s="5">
        <v>133.4</v>
      </c>
      <c r="AC227" s="5">
        <v>137.69999999999999</v>
      </c>
      <c r="AD227" s="5">
        <v>140.4</v>
      </c>
    </row>
    <row r="228" spans="1:30" x14ac:dyDescent="0.35">
      <c r="A228" s="5" t="s">
        <v>30</v>
      </c>
      <c r="B228" s="5">
        <v>2019</v>
      </c>
      <c r="C228" s="5" t="s">
        <v>38</v>
      </c>
      <c r="D228" s="11">
        <v>137.4</v>
      </c>
      <c r="E228" s="5">
        <v>159.5</v>
      </c>
      <c r="F228" s="5">
        <v>134.5</v>
      </c>
      <c r="G228" s="5">
        <v>142.6</v>
      </c>
      <c r="H228" s="5">
        <v>124</v>
      </c>
      <c r="I228" s="5">
        <v>143.69999999999999</v>
      </c>
      <c r="J228" s="5">
        <v>133.4</v>
      </c>
      <c r="K228" s="5">
        <v>125.1</v>
      </c>
      <c r="L228" s="5">
        <v>109.3</v>
      </c>
      <c r="M228" s="5">
        <v>139.30000000000001</v>
      </c>
      <c r="N228" s="5">
        <v>137.69999999999999</v>
      </c>
      <c r="O228" s="5">
        <v>156.4</v>
      </c>
      <c r="P228" s="5">
        <v>139.19999999999999</v>
      </c>
      <c r="Q228" s="5">
        <v>163.30000000000001</v>
      </c>
      <c r="R228" s="5">
        <v>151.30000000000001</v>
      </c>
      <c r="S228" s="5">
        <v>146.6</v>
      </c>
      <c r="T228" s="5">
        <v>150.69999999999999</v>
      </c>
      <c r="U228" s="5" t="s">
        <v>32</v>
      </c>
      <c r="V228" s="5">
        <v>146.9</v>
      </c>
      <c r="W228" s="5">
        <v>149.5</v>
      </c>
      <c r="X228" s="5">
        <v>151.30000000000001</v>
      </c>
      <c r="Y228" s="5">
        <v>130.19999999999999</v>
      </c>
      <c r="Z228" s="5">
        <v>145.9</v>
      </c>
      <c r="AA228" s="5">
        <v>156.69999999999999</v>
      </c>
      <c r="AB228" s="5">
        <v>133.9</v>
      </c>
      <c r="AC228" s="5">
        <v>142.9</v>
      </c>
      <c r="AD228" s="5">
        <v>142.4</v>
      </c>
    </row>
    <row r="229" spans="1:30" x14ac:dyDescent="0.35">
      <c r="A229" s="5" t="s">
        <v>33</v>
      </c>
      <c r="B229" s="5">
        <v>2019</v>
      </c>
      <c r="C229" s="5" t="s">
        <v>38</v>
      </c>
      <c r="D229" s="11">
        <v>140.4</v>
      </c>
      <c r="E229" s="5">
        <v>156.69999999999999</v>
      </c>
      <c r="F229" s="5">
        <v>138.30000000000001</v>
      </c>
      <c r="G229" s="5">
        <v>142.4</v>
      </c>
      <c r="H229" s="5">
        <v>118.6</v>
      </c>
      <c r="I229" s="5">
        <v>149.69999999999999</v>
      </c>
      <c r="J229" s="5">
        <v>161.6</v>
      </c>
      <c r="K229" s="5">
        <v>124.4</v>
      </c>
      <c r="L229" s="5">
        <v>111.2</v>
      </c>
      <c r="M229" s="5">
        <v>141</v>
      </c>
      <c r="N229" s="5">
        <v>128.9</v>
      </c>
      <c r="O229" s="5">
        <v>154.5</v>
      </c>
      <c r="P229" s="5">
        <v>143.80000000000001</v>
      </c>
      <c r="Q229" s="5">
        <v>166.2</v>
      </c>
      <c r="R229" s="5">
        <v>144</v>
      </c>
      <c r="S229" s="5">
        <v>131.69999999999999</v>
      </c>
      <c r="T229" s="5">
        <v>142.19999999999999</v>
      </c>
      <c r="U229" s="5">
        <v>150.1</v>
      </c>
      <c r="V229" s="5">
        <v>129.4</v>
      </c>
      <c r="W229" s="5">
        <v>137.19999999999999</v>
      </c>
      <c r="X229" s="5">
        <v>139.80000000000001</v>
      </c>
      <c r="Y229" s="5">
        <v>120.1</v>
      </c>
      <c r="Z229" s="5">
        <v>134</v>
      </c>
      <c r="AA229" s="5">
        <v>148</v>
      </c>
      <c r="AB229" s="5">
        <v>132.6</v>
      </c>
      <c r="AC229" s="5">
        <v>133.30000000000001</v>
      </c>
      <c r="AD229" s="5">
        <v>141.5</v>
      </c>
    </row>
    <row r="230" spans="1:30" x14ac:dyDescent="0.35">
      <c r="A230" s="5" t="s">
        <v>34</v>
      </c>
      <c r="B230" s="5">
        <v>2019</v>
      </c>
      <c r="C230" s="5" t="s">
        <v>38</v>
      </c>
      <c r="D230" s="11">
        <v>138.30000000000001</v>
      </c>
      <c r="E230" s="5">
        <v>158.5</v>
      </c>
      <c r="F230" s="5">
        <v>136</v>
      </c>
      <c r="G230" s="5">
        <v>142.5</v>
      </c>
      <c r="H230" s="5">
        <v>122</v>
      </c>
      <c r="I230" s="5">
        <v>146.5</v>
      </c>
      <c r="J230" s="5">
        <v>143</v>
      </c>
      <c r="K230" s="5">
        <v>124.9</v>
      </c>
      <c r="L230" s="5">
        <v>109.9</v>
      </c>
      <c r="M230" s="5">
        <v>139.9</v>
      </c>
      <c r="N230" s="5">
        <v>134</v>
      </c>
      <c r="O230" s="5">
        <v>155.5</v>
      </c>
      <c r="P230" s="5">
        <v>140.9</v>
      </c>
      <c r="Q230" s="5">
        <v>164.1</v>
      </c>
      <c r="R230" s="5">
        <v>148.4</v>
      </c>
      <c r="S230" s="5">
        <v>140.4</v>
      </c>
      <c r="T230" s="5">
        <v>147.30000000000001</v>
      </c>
      <c r="U230" s="5">
        <v>150.1</v>
      </c>
      <c r="V230" s="5">
        <v>140.30000000000001</v>
      </c>
      <c r="W230" s="5">
        <v>143.69999999999999</v>
      </c>
      <c r="X230" s="5">
        <v>146.9</v>
      </c>
      <c r="Y230" s="5">
        <v>124.9</v>
      </c>
      <c r="Z230" s="5">
        <v>139.19999999999999</v>
      </c>
      <c r="AA230" s="5">
        <v>151.6</v>
      </c>
      <c r="AB230" s="5">
        <v>133.4</v>
      </c>
      <c r="AC230" s="5">
        <v>138.19999999999999</v>
      </c>
      <c r="AD230" s="5">
        <v>142</v>
      </c>
    </row>
    <row r="231" spans="1:30" x14ac:dyDescent="0.35">
      <c r="A231" s="5" t="s">
        <v>30</v>
      </c>
      <c r="B231" s="5">
        <v>2019</v>
      </c>
      <c r="C231" s="5" t="s">
        <v>39</v>
      </c>
      <c r="D231" s="11">
        <v>137.80000000000001</v>
      </c>
      <c r="E231" s="5">
        <v>163.5</v>
      </c>
      <c r="F231" s="5">
        <v>136.19999999999999</v>
      </c>
      <c r="G231" s="5">
        <v>143.19999999999999</v>
      </c>
      <c r="H231" s="5">
        <v>124.3</v>
      </c>
      <c r="I231" s="5">
        <v>143.30000000000001</v>
      </c>
      <c r="J231" s="5">
        <v>140.6</v>
      </c>
      <c r="K231" s="5">
        <v>128.69999999999999</v>
      </c>
      <c r="L231" s="5">
        <v>110.6</v>
      </c>
      <c r="M231" s="5">
        <v>140.4</v>
      </c>
      <c r="N231" s="5">
        <v>138</v>
      </c>
      <c r="O231" s="5">
        <v>156.6</v>
      </c>
      <c r="P231" s="5">
        <v>141</v>
      </c>
      <c r="Q231" s="5">
        <v>164.2</v>
      </c>
      <c r="R231" s="5">
        <v>151.4</v>
      </c>
      <c r="S231" s="5">
        <v>146.5</v>
      </c>
      <c r="T231" s="5">
        <v>150.69999999999999</v>
      </c>
      <c r="U231" s="5" t="s">
        <v>32</v>
      </c>
      <c r="V231" s="5">
        <v>147.80000000000001</v>
      </c>
      <c r="W231" s="5">
        <v>149.6</v>
      </c>
      <c r="X231" s="5">
        <v>151.69999999999999</v>
      </c>
      <c r="Y231" s="5">
        <v>130.19999999999999</v>
      </c>
      <c r="Z231" s="5">
        <v>146.4</v>
      </c>
      <c r="AA231" s="5">
        <v>157.69999999999999</v>
      </c>
      <c r="AB231" s="5">
        <v>134.80000000000001</v>
      </c>
      <c r="AC231" s="5">
        <v>143.30000000000001</v>
      </c>
      <c r="AD231" s="5">
        <v>143.6</v>
      </c>
    </row>
    <row r="232" spans="1:30" x14ac:dyDescent="0.35">
      <c r="A232" s="5" t="s">
        <v>33</v>
      </c>
      <c r="B232" s="5">
        <v>2019</v>
      </c>
      <c r="C232" s="5" t="s">
        <v>39</v>
      </c>
      <c r="D232" s="11">
        <v>140.69999999999999</v>
      </c>
      <c r="E232" s="5">
        <v>159.6</v>
      </c>
      <c r="F232" s="5">
        <v>140.4</v>
      </c>
      <c r="G232" s="5">
        <v>143.4</v>
      </c>
      <c r="H232" s="5">
        <v>118.6</v>
      </c>
      <c r="I232" s="5">
        <v>150.9</v>
      </c>
      <c r="J232" s="5">
        <v>169.8</v>
      </c>
      <c r="K232" s="5">
        <v>127.4</v>
      </c>
      <c r="L232" s="5">
        <v>111.8</v>
      </c>
      <c r="M232" s="5">
        <v>141</v>
      </c>
      <c r="N232" s="5">
        <v>129</v>
      </c>
      <c r="O232" s="5">
        <v>155.1</v>
      </c>
      <c r="P232" s="5">
        <v>145.6</v>
      </c>
      <c r="Q232" s="5">
        <v>166.7</v>
      </c>
      <c r="R232" s="5">
        <v>144.30000000000001</v>
      </c>
      <c r="S232" s="5">
        <v>131.69999999999999</v>
      </c>
      <c r="T232" s="5">
        <v>142.4</v>
      </c>
      <c r="U232" s="5">
        <v>149.4</v>
      </c>
      <c r="V232" s="5">
        <v>130.5</v>
      </c>
      <c r="W232" s="5">
        <v>137.4</v>
      </c>
      <c r="X232" s="5">
        <v>140.30000000000001</v>
      </c>
      <c r="Y232" s="5">
        <v>119.6</v>
      </c>
      <c r="Z232" s="5">
        <v>134.30000000000001</v>
      </c>
      <c r="AA232" s="5">
        <v>148.9</v>
      </c>
      <c r="AB232" s="5">
        <v>133.69999999999999</v>
      </c>
      <c r="AC232" s="5">
        <v>133.6</v>
      </c>
      <c r="AD232" s="5">
        <v>142.1</v>
      </c>
    </row>
    <row r="233" spans="1:30" x14ac:dyDescent="0.35">
      <c r="A233" s="5" t="s">
        <v>34</v>
      </c>
      <c r="B233" s="5">
        <v>2019</v>
      </c>
      <c r="C233" s="5" t="s">
        <v>39</v>
      </c>
      <c r="D233" s="11">
        <v>138.69999999999999</v>
      </c>
      <c r="E233" s="5">
        <v>162.1</v>
      </c>
      <c r="F233" s="5">
        <v>137.80000000000001</v>
      </c>
      <c r="G233" s="5">
        <v>143.30000000000001</v>
      </c>
      <c r="H233" s="5">
        <v>122.2</v>
      </c>
      <c r="I233" s="5">
        <v>146.80000000000001</v>
      </c>
      <c r="J233" s="5">
        <v>150.5</v>
      </c>
      <c r="K233" s="5">
        <v>128.30000000000001</v>
      </c>
      <c r="L233" s="5">
        <v>111</v>
      </c>
      <c r="M233" s="5">
        <v>140.6</v>
      </c>
      <c r="N233" s="5">
        <v>134.19999999999999</v>
      </c>
      <c r="O233" s="5">
        <v>155.9</v>
      </c>
      <c r="P233" s="5">
        <v>142.69999999999999</v>
      </c>
      <c r="Q233" s="5">
        <v>164.9</v>
      </c>
      <c r="R233" s="5">
        <v>148.6</v>
      </c>
      <c r="S233" s="5">
        <v>140.4</v>
      </c>
      <c r="T233" s="5">
        <v>147.4</v>
      </c>
      <c r="U233" s="5">
        <v>149.4</v>
      </c>
      <c r="V233" s="5">
        <v>141.19999999999999</v>
      </c>
      <c r="W233" s="5">
        <v>143.80000000000001</v>
      </c>
      <c r="X233" s="5">
        <v>147.4</v>
      </c>
      <c r="Y233" s="5">
        <v>124.6</v>
      </c>
      <c r="Z233" s="5">
        <v>139.6</v>
      </c>
      <c r="AA233" s="5">
        <v>152.5</v>
      </c>
      <c r="AB233" s="5">
        <v>134.30000000000001</v>
      </c>
      <c r="AC233" s="5">
        <v>138.6</v>
      </c>
      <c r="AD233" s="5">
        <v>142.9</v>
      </c>
    </row>
    <row r="234" spans="1:30" x14ac:dyDescent="0.35">
      <c r="A234" s="5" t="s">
        <v>30</v>
      </c>
      <c r="B234" s="5">
        <v>2019</v>
      </c>
      <c r="C234" s="5" t="s">
        <v>40</v>
      </c>
      <c r="D234" s="11">
        <v>138.4</v>
      </c>
      <c r="E234" s="5">
        <v>164</v>
      </c>
      <c r="F234" s="5">
        <v>138.4</v>
      </c>
      <c r="G234" s="5">
        <v>143.9</v>
      </c>
      <c r="H234" s="5">
        <v>124.4</v>
      </c>
      <c r="I234" s="5">
        <v>146.4</v>
      </c>
      <c r="J234" s="5">
        <v>150.1</v>
      </c>
      <c r="K234" s="5">
        <v>130.6</v>
      </c>
      <c r="L234" s="5">
        <v>110.8</v>
      </c>
      <c r="M234" s="5">
        <v>141.69999999999999</v>
      </c>
      <c r="N234" s="5">
        <v>138.5</v>
      </c>
      <c r="O234" s="5">
        <v>156.69999999999999</v>
      </c>
      <c r="P234" s="5">
        <v>143</v>
      </c>
      <c r="Q234" s="5">
        <v>164.5</v>
      </c>
      <c r="R234" s="5">
        <v>151.6</v>
      </c>
      <c r="S234" s="5">
        <v>146.6</v>
      </c>
      <c r="T234" s="5">
        <v>150.9</v>
      </c>
      <c r="U234" s="5" t="s">
        <v>32</v>
      </c>
      <c r="V234" s="5">
        <v>146.80000000000001</v>
      </c>
      <c r="W234" s="5">
        <v>150</v>
      </c>
      <c r="X234" s="5">
        <v>152.19999999999999</v>
      </c>
      <c r="Y234" s="5">
        <v>131.19999999999999</v>
      </c>
      <c r="Z234" s="5">
        <v>147.5</v>
      </c>
      <c r="AA234" s="5">
        <v>159.1</v>
      </c>
      <c r="AB234" s="5">
        <v>136.1</v>
      </c>
      <c r="AC234" s="5">
        <v>144.19999999999999</v>
      </c>
      <c r="AD234" s="5">
        <v>144.9</v>
      </c>
    </row>
    <row r="235" spans="1:30" x14ac:dyDescent="0.35">
      <c r="A235" s="5" t="s">
        <v>33</v>
      </c>
      <c r="B235" s="5">
        <v>2019</v>
      </c>
      <c r="C235" s="5" t="s">
        <v>40</v>
      </c>
      <c r="D235" s="11">
        <v>141.4</v>
      </c>
      <c r="E235" s="5">
        <v>160.19999999999999</v>
      </c>
      <c r="F235" s="5">
        <v>142.5</v>
      </c>
      <c r="G235" s="5">
        <v>144.1</v>
      </c>
      <c r="H235" s="5">
        <v>119.3</v>
      </c>
      <c r="I235" s="5">
        <v>154.69999999999999</v>
      </c>
      <c r="J235" s="5">
        <v>180.1</v>
      </c>
      <c r="K235" s="5">
        <v>128.9</v>
      </c>
      <c r="L235" s="5">
        <v>111.8</v>
      </c>
      <c r="M235" s="5">
        <v>141.6</v>
      </c>
      <c r="N235" s="5">
        <v>129.5</v>
      </c>
      <c r="O235" s="5">
        <v>155.6</v>
      </c>
      <c r="P235" s="5">
        <v>147.69999999999999</v>
      </c>
      <c r="Q235" s="5">
        <v>167.2</v>
      </c>
      <c r="R235" s="5">
        <v>144.69999999999999</v>
      </c>
      <c r="S235" s="5">
        <v>131.9</v>
      </c>
      <c r="T235" s="5">
        <v>142.69999999999999</v>
      </c>
      <c r="U235" s="5">
        <v>150.6</v>
      </c>
      <c r="V235" s="5">
        <v>127</v>
      </c>
      <c r="W235" s="5">
        <v>137.69999999999999</v>
      </c>
      <c r="X235" s="5">
        <v>140.80000000000001</v>
      </c>
      <c r="Y235" s="5">
        <v>120.6</v>
      </c>
      <c r="Z235" s="5">
        <v>135</v>
      </c>
      <c r="AA235" s="5">
        <v>150.4</v>
      </c>
      <c r="AB235" s="5">
        <v>135.1</v>
      </c>
      <c r="AC235" s="5">
        <v>134.5</v>
      </c>
      <c r="AD235" s="5">
        <v>143.30000000000001</v>
      </c>
    </row>
    <row r="236" spans="1:30" x14ac:dyDescent="0.35">
      <c r="A236" s="5" t="s">
        <v>34</v>
      </c>
      <c r="B236" s="5">
        <v>2019</v>
      </c>
      <c r="C236" s="5" t="s">
        <v>40</v>
      </c>
      <c r="D236" s="11">
        <v>139.30000000000001</v>
      </c>
      <c r="E236" s="5">
        <v>162.69999999999999</v>
      </c>
      <c r="F236" s="5">
        <v>140</v>
      </c>
      <c r="G236" s="5">
        <v>144</v>
      </c>
      <c r="H236" s="5">
        <v>122.5</v>
      </c>
      <c r="I236" s="5">
        <v>150.30000000000001</v>
      </c>
      <c r="J236" s="5">
        <v>160.30000000000001</v>
      </c>
      <c r="K236" s="5">
        <v>130</v>
      </c>
      <c r="L236" s="5">
        <v>111.1</v>
      </c>
      <c r="M236" s="5">
        <v>141.69999999999999</v>
      </c>
      <c r="N236" s="5">
        <v>134.69999999999999</v>
      </c>
      <c r="O236" s="5">
        <v>156.19999999999999</v>
      </c>
      <c r="P236" s="5">
        <v>144.69999999999999</v>
      </c>
      <c r="Q236" s="5">
        <v>165.2</v>
      </c>
      <c r="R236" s="5">
        <v>148.9</v>
      </c>
      <c r="S236" s="5">
        <v>140.5</v>
      </c>
      <c r="T236" s="5">
        <v>147.6</v>
      </c>
      <c r="U236" s="5">
        <v>150.6</v>
      </c>
      <c r="V236" s="5">
        <v>139.30000000000001</v>
      </c>
      <c r="W236" s="5">
        <v>144.19999999999999</v>
      </c>
      <c r="X236" s="5">
        <v>147.9</v>
      </c>
      <c r="Y236" s="5">
        <v>125.6</v>
      </c>
      <c r="Z236" s="5">
        <v>140.5</v>
      </c>
      <c r="AA236" s="5">
        <v>154</v>
      </c>
      <c r="AB236" s="5">
        <v>135.69999999999999</v>
      </c>
      <c r="AC236" s="5">
        <v>139.5</v>
      </c>
      <c r="AD236" s="5">
        <v>144.19999999999999</v>
      </c>
    </row>
    <row r="237" spans="1:30" x14ac:dyDescent="0.35">
      <c r="A237" s="5" t="s">
        <v>30</v>
      </c>
      <c r="B237" s="5">
        <v>2019</v>
      </c>
      <c r="C237" s="5" t="s">
        <v>41</v>
      </c>
      <c r="D237" s="11">
        <v>139.19999999999999</v>
      </c>
      <c r="E237" s="5">
        <v>161.9</v>
      </c>
      <c r="F237" s="5">
        <v>137.1</v>
      </c>
      <c r="G237" s="5">
        <v>144.6</v>
      </c>
      <c r="H237" s="5">
        <v>124.7</v>
      </c>
      <c r="I237" s="5">
        <v>145.5</v>
      </c>
      <c r="J237" s="5">
        <v>156.19999999999999</v>
      </c>
      <c r="K237" s="5">
        <v>131.5</v>
      </c>
      <c r="L237" s="5">
        <v>111.7</v>
      </c>
      <c r="M237" s="5">
        <v>142.69999999999999</v>
      </c>
      <c r="N237" s="5">
        <v>138.5</v>
      </c>
      <c r="O237" s="5">
        <v>156.9</v>
      </c>
      <c r="P237" s="5">
        <v>144</v>
      </c>
      <c r="Q237" s="5">
        <v>165.1</v>
      </c>
      <c r="R237" s="5">
        <v>151.80000000000001</v>
      </c>
      <c r="S237" s="5">
        <v>146.6</v>
      </c>
      <c r="T237" s="5">
        <v>151.1</v>
      </c>
      <c r="U237" s="5" t="s">
        <v>32</v>
      </c>
      <c r="V237" s="5">
        <v>146.4</v>
      </c>
      <c r="W237" s="5">
        <v>150.19999999999999</v>
      </c>
      <c r="X237" s="5">
        <v>152.69999999999999</v>
      </c>
      <c r="Y237" s="5">
        <v>131.4</v>
      </c>
      <c r="Z237" s="5">
        <v>148</v>
      </c>
      <c r="AA237" s="5">
        <v>159.69999999999999</v>
      </c>
      <c r="AB237" s="5">
        <v>138.80000000000001</v>
      </c>
      <c r="AC237" s="5">
        <v>144.9</v>
      </c>
      <c r="AD237" s="5">
        <v>145.69999999999999</v>
      </c>
    </row>
    <row r="238" spans="1:30" x14ac:dyDescent="0.35">
      <c r="A238" s="5" t="s">
        <v>33</v>
      </c>
      <c r="B238" s="5">
        <v>2019</v>
      </c>
      <c r="C238" s="5" t="s">
        <v>41</v>
      </c>
      <c r="D238" s="11">
        <v>142.1</v>
      </c>
      <c r="E238" s="5">
        <v>158.30000000000001</v>
      </c>
      <c r="F238" s="5">
        <v>140.80000000000001</v>
      </c>
      <c r="G238" s="5">
        <v>144.9</v>
      </c>
      <c r="H238" s="5">
        <v>119.9</v>
      </c>
      <c r="I238" s="5">
        <v>153.9</v>
      </c>
      <c r="J238" s="5">
        <v>189.1</v>
      </c>
      <c r="K238" s="5">
        <v>129.80000000000001</v>
      </c>
      <c r="L238" s="5">
        <v>112.7</v>
      </c>
      <c r="M238" s="5">
        <v>142.5</v>
      </c>
      <c r="N238" s="5">
        <v>129.80000000000001</v>
      </c>
      <c r="O238" s="5">
        <v>156.19999999999999</v>
      </c>
      <c r="P238" s="5">
        <v>149.1</v>
      </c>
      <c r="Q238" s="5">
        <v>167.9</v>
      </c>
      <c r="R238" s="5">
        <v>145</v>
      </c>
      <c r="S238" s="5">
        <v>132.19999999999999</v>
      </c>
      <c r="T238" s="5">
        <v>143</v>
      </c>
      <c r="U238" s="5">
        <v>151.6</v>
      </c>
      <c r="V238" s="5">
        <v>125.5</v>
      </c>
      <c r="W238" s="5">
        <v>138.1</v>
      </c>
      <c r="X238" s="5">
        <v>141.5</v>
      </c>
      <c r="Y238" s="5">
        <v>120.8</v>
      </c>
      <c r="Z238" s="5">
        <v>135.4</v>
      </c>
      <c r="AA238" s="5">
        <v>151.5</v>
      </c>
      <c r="AB238" s="5">
        <v>137.80000000000001</v>
      </c>
      <c r="AC238" s="5">
        <v>135.30000000000001</v>
      </c>
      <c r="AD238" s="5">
        <v>144.19999999999999</v>
      </c>
    </row>
    <row r="239" spans="1:30" x14ac:dyDescent="0.35">
      <c r="A239" s="5" t="s">
        <v>34</v>
      </c>
      <c r="B239" s="5">
        <v>2019</v>
      </c>
      <c r="C239" s="5" t="s">
        <v>41</v>
      </c>
      <c r="D239" s="11">
        <v>140.1</v>
      </c>
      <c r="E239" s="5">
        <v>160.6</v>
      </c>
      <c r="F239" s="5">
        <v>138.5</v>
      </c>
      <c r="G239" s="5">
        <v>144.69999999999999</v>
      </c>
      <c r="H239" s="5">
        <v>122.9</v>
      </c>
      <c r="I239" s="5">
        <v>149.4</v>
      </c>
      <c r="J239" s="5">
        <v>167.4</v>
      </c>
      <c r="K239" s="5">
        <v>130.9</v>
      </c>
      <c r="L239" s="5">
        <v>112</v>
      </c>
      <c r="M239" s="5">
        <v>142.6</v>
      </c>
      <c r="N239" s="5">
        <v>134.9</v>
      </c>
      <c r="O239" s="5">
        <v>156.6</v>
      </c>
      <c r="P239" s="5">
        <v>145.9</v>
      </c>
      <c r="Q239" s="5">
        <v>165.8</v>
      </c>
      <c r="R239" s="5">
        <v>149.1</v>
      </c>
      <c r="S239" s="5">
        <v>140.6</v>
      </c>
      <c r="T239" s="5">
        <v>147.9</v>
      </c>
      <c r="U239" s="5">
        <v>151.6</v>
      </c>
      <c r="V239" s="5">
        <v>138.5</v>
      </c>
      <c r="W239" s="5">
        <v>144.5</v>
      </c>
      <c r="X239" s="5">
        <v>148.5</v>
      </c>
      <c r="Y239" s="5">
        <v>125.8</v>
      </c>
      <c r="Z239" s="5">
        <v>140.9</v>
      </c>
      <c r="AA239" s="5">
        <v>154.9</v>
      </c>
      <c r="AB239" s="5">
        <v>138.4</v>
      </c>
      <c r="AC239" s="5">
        <v>140.19999999999999</v>
      </c>
      <c r="AD239" s="5">
        <v>145</v>
      </c>
    </row>
    <row r="240" spans="1:30" x14ac:dyDescent="0.35">
      <c r="A240" s="5" t="s">
        <v>30</v>
      </c>
      <c r="B240" s="5">
        <v>2019</v>
      </c>
      <c r="C240" s="5" t="s">
        <v>42</v>
      </c>
      <c r="D240" s="11">
        <v>140.1</v>
      </c>
      <c r="E240" s="5">
        <v>161.9</v>
      </c>
      <c r="F240" s="5">
        <v>138.30000000000001</v>
      </c>
      <c r="G240" s="5">
        <v>145.69999999999999</v>
      </c>
      <c r="H240" s="5">
        <v>125.1</v>
      </c>
      <c r="I240" s="5">
        <v>143.80000000000001</v>
      </c>
      <c r="J240" s="5">
        <v>163.4</v>
      </c>
      <c r="K240" s="5">
        <v>132.19999999999999</v>
      </c>
      <c r="L240" s="5">
        <v>112.8</v>
      </c>
      <c r="M240" s="5">
        <v>144.19999999999999</v>
      </c>
      <c r="N240" s="5">
        <v>138.5</v>
      </c>
      <c r="O240" s="5">
        <v>157.19999999999999</v>
      </c>
      <c r="P240" s="5">
        <v>145.5</v>
      </c>
      <c r="Q240" s="5">
        <v>165.7</v>
      </c>
      <c r="R240" s="5">
        <v>151.69999999999999</v>
      </c>
      <c r="S240" s="5">
        <v>146.6</v>
      </c>
      <c r="T240" s="5">
        <v>151</v>
      </c>
      <c r="U240" s="5" t="s">
        <v>32</v>
      </c>
      <c r="V240" s="5">
        <v>146.9</v>
      </c>
      <c r="W240" s="5">
        <v>150.30000000000001</v>
      </c>
      <c r="X240" s="5">
        <v>153.4</v>
      </c>
      <c r="Y240" s="5">
        <v>131.6</v>
      </c>
      <c r="Z240" s="5">
        <v>148.30000000000001</v>
      </c>
      <c r="AA240" s="5">
        <v>160.19999999999999</v>
      </c>
      <c r="AB240" s="5">
        <v>140.19999999999999</v>
      </c>
      <c r="AC240" s="5">
        <v>145.4</v>
      </c>
      <c r="AD240" s="5">
        <v>146.69999999999999</v>
      </c>
    </row>
    <row r="241" spans="1:30" x14ac:dyDescent="0.35">
      <c r="A241" s="5" t="s">
        <v>33</v>
      </c>
      <c r="B241" s="5">
        <v>2019</v>
      </c>
      <c r="C241" s="5" t="s">
        <v>42</v>
      </c>
      <c r="D241" s="11">
        <v>142.69999999999999</v>
      </c>
      <c r="E241" s="5">
        <v>158.69999999999999</v>
      </c>
      <c r="F241" s="5">
        <v>141.6</v>
      </c>
      <c r="G241" s="5">
        <v>144.9</v>
      </c>
      <c r="H241" s="5">
        <v>120.8</v>
      </c>
      <c r="I241" s="5">
        <v>149.80000000000001</v>
      </c>
      <c r="J241" s="5">
        <v>192.4</v>
      </c>
      <c r="K241" s="5">
        <v>130.30000000000001</v>
      </c>
      <c r="L241" s="5">
        <v>114</v>
      </c>
      <c r="M241" s="5">
        <v>143.80000000000001</v>
      </c>
      <c r="N241" s="5">
        <v>130</v>
      </c>
      <c r="O241" s="5">
        <v>156.4</v>
      </c>
      <c r="P241" s="5">
        <v>149.5</v>
      </c>
      <c r="Q241" s="5">
        <v>168.6</v>
      </c>
      <c r="R241" s="5">
        <v>145.30000000000001</v>
      </c>
      <c r="S241" s="5">
        <v>132.19999999999999</v>
      </c>
      <c r="T241" s="5">
        <v>143.30000000000001</v>
      </c>
      <c r="U241" s="5">
        <v>152.19999999999999</v>
      </c>
      <c r="V241" s="5">
        <v>126.6</v>
      </c>
      <c r="W241" s="5">
        <v>138.30000000000001</v>
      </c>
      <c r="X241" s="5">
        <v>141.9</v>
      </c>
      <c r="Y241" s="5">
        <v>121.2</v>
      </c>
      <c r="Z241" s="5">
        <v>135.9</v>
      </c>
      <c r="AA241" s="5">
        <v>151.6</v>
      </c>
      <c r="AB241" s="5">
        <v>139</v>
      </c>
      <c r="AC241" s="5">
        <v>135.69999999999999</v>
      </c>
      <c r="AD241" s="5">
        <v>144.69999999999999</v>
      </c>
    </row>
    <row r="242" spans="1:30" x14ac:dyDescent="0.35">
      <c r="A242" s="5" t="s">
        <v>34</v>
      </c>
      <c r="B242" s="5">
        <v>2019</v>
      </c>
      <c r="C242" s="5" t="s">
        <v>42</v>
      </c>
      <c r="D242" s="11">
        <v>140.9</v>
      </c>
      <c r="E242" s="5">
        <v>160.80000000000001</v>
      </c>
      <c r="F242" s="5">
        <v>139.6</v>
      </c>
      <c r="G242" s="5">
        <v>145.4</v>
      </c>
      <c r="H242" s="5">
        <v>123.5</v>
      </c>
      <c r="I242" s="5">
        <v>146.6</v>
      </c>
      <c r="J242" s="5">
        <v>173.2</v>
      </c>
      <c r="K242" s="5">
        <v>131.6</v>
      </c>
      <c r="L242" s="5">
        <v>113.2</v>
      </c>
      <c r="M242" s="5">
        <v>144.1</v>
      </c>
      <c r="N242" s="5">
        <v>135</v>
      </c>
      <c r="O242" s="5">
        <v>156.80000000000001</v>
      </c>
      <c r="P242" s="5">
        <v>147</v>
      </c>
      <c r="Q242" s="5">
        <v>166.5</v>
      </c>
      <c r="R242" s="5">
        <v>149.19999999999999</v>
      </c>
      <c r="S242" s="5">
        <v>140.6</v>
      </c>
      <c r="T242" s="5">
        <v>147.9</v>
      </c>
      <c r="U242" s="5">
        <v>152.19999999999999</v>
      </c>
      <c r="V242" s="5">
        <v>139.19999999999999</v>
      </c>
      <c r="W242" s="5">
        <v>144.6</v>
      </c>
      <c r="X242" s="5">
        <v>149</v>
      </c>
      <c r="Y242" s="5">
        <v>126.1</v>
      </c>
      <c r="Z242" s="5">
        <v>141.30000000000001</v>
      </c>
      <c r="AA242" s="5">
        <v>155.19999999999999</v>
      </c>
      <c r="AB242" s="5">
        <v>139.69999999999999</v>
      </c>
      <c r="AC242" s="5">
        <v>140.69999999999999</v>
      </c>
      <c r="AD242" s="5">
        <v>145.80000000000001</v>
      </c>
    </row>
    <row r="243" spans="1:30" x14ac:dyDescent="0.35">
      <c r="A243" s="5" t="s">
        <v>30</v>
      </c>
      <c r="B243" s="5">
        <v>2019</v>
      </c>
      <c r="C243" s="5" t="s">
        <v>43</v>
      </c>
      <c r="D243" s="11">
        <v>141</v>
      </c>
      <c r="E243" s="5">
        <v>161.6</v>
      </c>
      <c r="F243" s="5">
        <v>141.19999999999999</v>
      </c>
      <c r="G243" s="5">
        <v>146.5</v>
      </c>
      <c r="H243" s="5">
        <v>125.6</v>
      </c>
      <c r="I243" s="5">
        <v>145.69999999999999</v>
      </c>
      <c r="J243" s="5">
        <v>178.8</v>
      </c>
      <c r="K243" s="5">
        <v>133.1</v>
      </c>
      <c r="L243" s="5">
        <v>113.6</v>
      </c>
      <c r="M243" s="5">
        <v>145.5</v>
      </c>
      <c r="N243" s="5">
        <v>138.6</v>
      </c>
      <c r="O243" s="5">
        <v>157.4</v>
      </c>
      <c r="P243" s="5">
        <v>148.30000000000001</v>
      </c>
      <c r="Q243" s="5">
        <v>166.3</v>
      </c>
      <c r="R243" s="5">
        <v>151.69999999999999</v>
      </c>
      <c r="S243" s="5">
        <v>146.69999999999999</v>
      </c>
      <c r="T243" s="5">
        <v>151</v>
      </c>
      <c r="U243" s="5" t="s">
        <v>32</v>
      </c>
      <c r="V243" s="5">
        <v>147.69999999999999</v>
      </c>
      <c r="W243" s="5">
        <v>150.6</v>
      </c>
      <c r="X243" s="5">
        <v>153.69999999999999</v>
      </c>
      <c r="Y243" s="5">
        <v>131.69999999999999</v>
      </c>
      <c r="Z243" s="5">
        <v>148.69999999999999</v>
      </c>
      <c r="AA243" s="5">
        <v>160.69999999999999</v>
      </c>
      <c r="AB243" s="5">
        <v>140.30000000000001</v>
      </c>
      <c r="AC243" s="5">
        <v>145.69999999999999</v>
      </c>
      <c r="AD243" s="5">
        <v>148.30000000000001</v>
      </c>
    </row>
    <row r="244" spans="1:30" x14ac:dyDescent="0.35">
      <c r="A244" s="5" t="s">
        <v>33</v>
      </c>
      <c r="B244" s="5">
        <v>2019</v>
      </c>
      <c r="C244" s="5" t="s">
        <v>43</v>
      </c>
      <c r="D244" s="11">
        <v>143.5</v>
      </c>
      <c r="E244" s="5">
        <v>159.80000000000001</v>
      </c>
      <c r="F244" s="5">
        <v>144.69999999999999</v>
      </c>
      <c r="G244" s="5">
        <v>145.6</v>
      </c>
      <c r="H244" s="5">
        <v>121.1</v>
      </c>
      <c r="I244" s="5">
        <v>150.6</v>
      </c>
      <c r="J244" s="5">
        <v>207.2</v>
      </c>
      <c r="K244" s="5">
        <v>131.19999999999999</v>
      </c>
      <c r="L244" s="5">
        <v>114.8</v>
      </c>
      <c r="M244" s="5">
        <v>145.19999999999999</v>
      </c>
      <c r="N244" s="5">
        <v>130.19999999999999</v>
      </c>
      <c r="O244" s="5">
        <v>156.80000000000001</v>
      </c>
      <c r="P244" s="5">
        <v>151.9</v>
      </c>
      <c r="Q244" s="5">
        <v>169.3</v>
      </c>
      <c r="R244" s="5">
        <v>145.9</v>
      </c>
      <c r="S244" s="5">
        <v>132.4</v>
      </c>
      <c r="T244" s="5">
        <v>143.9</v>
      </c>
      <c r="U244" s="5">
        <v>153</v>
      </c>
      <c r="V244" s="5">
        <v>128.9</v>
      </c>
      <c r="W244" s="5">
        <v>138.69999999999999</v>
      </c>
      <c r="X244" s="5">
        <v>142.4</v>
      </c>
      <c r="Y244" s="5">
        <v>121.5</v>
      </c>
      <c r="Z244" s="5">
        <v>136.19999999999999</v>
      </c>
      <c r="AA244" s="5">
        <v>151.69999999999999</v>
      </c>
      <c r="AB244" s="5">
        <v>139.5</v>
      </c>
      <c r="AC244" s="5">
        <v>136</v>
      </c>
      <c r="AD244" s="5">
        <v>146</v>
      </c>
    </row>
    <row r="245" spans="1:30" x14ac:dyDescent="0.35">
      <c r="A245" s="5" t="s">
        <v>34</v>
      </c>
      <c r="B245" s="5">
        <v>2019</v>
      </c>
      <c r="C245" s="5" t="s">
        <v>43</v>
      </c>
      <c r="D245" s="11">
        <v>141.80000000000001</v>
      </c>
      <c r="E245" s="5">
        <v>161</v>
      </c>
      <c r="F245" s="5">
        <v>142.6</v>
      </c>
      <c r="G245" s="5">
        <v>146.19999999999999</v>
      </c>
      <c r="H245" s="5">
        <v>123.9</v>
      </c>
      <c r="I245" s="5">
        <v>148</v>
      </c>
      <c r="J245" s="5">
        <v>188.4</v>
      </c>
      <c r="K245" s="5">
        <v>132.5</v>
      </c>
      <c r="L245" s="5">
        <v>114</v>
      </c>
      <c r="M245" s="5">
        <v>145.4</v>
      </c>
      <c r="N245" s="5">
        <v>135.1</v>
      </c>
      <c r="O245" s="5">
        <v>157.1</v>
      </c>
      <c r="P245" s="5">
        <v>149.6</v>
      </c>
      <c r="Q245" s="5">
        <v>167.1</v>
      </c>
      <c r="R245" s="5">
        <v>149.4</v>
      </c>
      <c r="S245" s="5">
        <v>140.80000000000001</v>
      </c>
      <c r="T245" s="5">
        <v>148.19999999999999</v>
      </c>
      <c r="U245" s="5">
        <v>153</v>
      </c>
      <c r="V245" s="5">
        <v>140.6</v>
      </c>
      <c r="W245" s="5">
        <v>145</v>
      </c>
      <c r="X245" s="5">
        <v>149.4</v>
      </c>
      <c r="Y245" s="5">
        <v>126.3</v>
      </c>
      <c r="Z245" s="5">
        <v>141.69999999999999</v>
      </c>
      <c r="AA245" s="5">
        <v>155.4</v>
      </c>
      <c r="AB245" s="5">
        <v>140</v>
      </c>
      <c r="AC245" s="5">
        <v>141</v>
      </c>
      <c r="AD245" s="5">
        <v>147.19999999999999</v>
      </c>
    </row>
    <row r="246" spans="1:30" x14ac:dyDescent="0.35">
      <c r="A246" s="5" t="s">
        <v>30</v>
      </c>
      <c r="B246" s="5">
        <v>2019</v>
      </c>
      <c r="C246" s="5" t="s">
        <v>45</v>
      </c>
      <c r="D246" s="11">
        <v>141.80000000000001</v>
      </c>
      <c r="E246" s="5">
        <v>163.69999999999999</v>
      </c>
      <c r="F246" s="5">
        <v>143.80000000000001</v>
      </c>
      <c r="G246" s="5">
        <v>147.1</v>
      </c>
      <c r="H246" s="5">
        <v>126</v>
      </c>
      <c r="I246" s="5">
        <v>146.19999999999999</v>
      </c>
      <c r="J246" s="5">
        <v>191.4</v>
      </c>
      <c r="K246" s="5">
        <v>136.19999999999999</v>
      </c>
      <c r="L246" s="5">
        <v>113.8</v>
      </c>
      <c r="M246" s="5">
        <v>147.30000000000001</v>
      </c>
      <c r="N246" s="5">
        <v>138.69999999999999</v>
      </c>
      <c r="O246" s="5">
        <v>157.69999999999999</v>
      </c>
      <c r="P246" s="5">
        <v>150.9</v>
      </c>
      <c r="Q246" s="5">
        <v>167.2</v>
      </c>
      <c r="R246" s="5">
        <v>152.30000000000001</v>
      </c>
      <c r="S246" s="5">
        <v>147</v>
      </c>
      <c r="T246" s="5">
        <v>151.5</v>
      </c>
      <c r="U246" s="5" t="s">
        <v>32</v>
      </c>
      <c r="V246" s="5">
        <v>148.4</v>
      </c>
      <c r="W246" s="5">
        <v>150.9</v>
      </c>
      <c r="X246" s="5">
        <v>154.30000000000001</v>
      </c>
      <c r="Y246" s="5">
        <v>132.1</v>
      </c>
      <c r="Z246" s="5">
        <v>149.1</v>
      </c>
      <c r="AA246" s="5">
        <v>160.80000000000001</v>
      </c>
      <c r="AB246" s="5">
        <v>140.6</v>
      </c>
      <c r="AC246" s="5">
        <v>146.1</v>
      </c>
      <c r="AD246" s="5">
        <v>149.9</v>
      </c>
    </row>
    <row r="247" spans="1:30" x14ac:dyDescent="0.35">
      <c r="A247" s="5" t="s">
        <v>33</v>
      </c>
      <c r="B247" s="5">
        <v>2019</v>
      </c>
      <c r="C247" s="5" t="s">
        <v>45</v>
      </c>
      <c r="D247" s="11">
        <v>144.1</v>
      </c>
      <c r="E247" s="5">
        <v>162.4</v>
      </c>
      <c r="F247" s="5">
        <v>148.4</v>
      </c>
      <c r="G247" s="5">
        <v>145.9</v>
      </c>
      <c r="H247" s="5">
        <v>121.5</v>
      </c>
      <c r="I247" s="5">
        <v>148.80000000000001</v>
      </c>
      <c r="J247" s="5">
        <v>215.7</v>
      </c>
      <c r="K247" s="5">
        <v>134.6</v>
      </c>
      <c r="L247" s="5">
        <v>115</v>
      </c>
      <c r="M247" s="5">
        <v>146.30000000000001</v>
      </c>
      <c r="N247" s="5">
        <v>130.5</v>
      </c>
      <c r="O247" s="5">
        <v>157.19999999999999</v>
      </c>
      <c r="P247" s="5">
        <v>153.6</v>
      </c>
      <c r="Q247" s="5">
        <v>169.9</v>
      </c>
      <c r="R247" s="5">
        <v>146.30000000000001</v>
      </c>
      <c r="S247" s="5">
        <v>132.6</v>
      </c>
      <c r="T247" s="5">
        <v>144.19999999999999</v>
      </c>
      <c r="U247" s="5">
        <v>153.5</v>
      </c>
      <c r="V247" s="5">
        <v>132.19999999999999</v>
      </c>
      <c r="W247" s="5">
        <v>139.1</v>
      </c>
      <c r="X247" s="5">
        <v>142.80000000000001</v>
      </c>
      <c r="Y247" s="5">
        <v>121.7</v>
      </c>
      <c r="Z247" s="5">
        <v>136.69999999999999</v>
      </c>
      <c r="AA247" s="5">
        <v>151.80000000000001</v>
      </c>
      <c r="AB247" s="5">
        <v>139.80000000000001</v>
      </c>
      <c r="AC247" s="5">
        <v>136.30000000000001</v>
      </c>
      <c r="AD247" s="5">
        <v>147</v>
      </c>
    </row>
    <row r="248" spans="1:30" x14ac:dyDescent="0.35">
      <c r="A248" s="5" t="s">
        <v>34</v>
      </c>
      <c r="B248" s="5">
        <v>2019</v>
      </c>
      <c r="C248" s="5" t="s">
        <v>45</v>
      </c>
      <c r="D248" s="11">
        <v>142.5</v>
      </c>
      <c r="E248" s="5">
        <v>163.19999999999999</v>
      </c>
      <c r="F248" s="5">
        <v>145.6</v>
      </c>
      <c r="G248" s="5">
        <v>146.69999999999999</v>
      </c>
      <c r="H248" s="5">
        <v>124.3</v>
      </c>
      <c r="I248" s="5">
        <v>147.4</v>
      </c>
      <c r="J248" s="5">
        <v>199.6</v>
      </c>
      <c r="K248" s="5">
        <v>135.69999999999999</v>
      </c>
      <c r="L248" s="5">
        <v>114.2</v>
      </c>
      <c r="M248" s="5">
        <v>147</v>
      </c>
      <c r="N248" s="5">
        <v>135.30000000000001</v>
      </c>
      <c r="O248" s="5">
        <v>157.5</v>
      </c>
      <c r="P248" s="5">
        <v>151.9</v>
      </c>
      <c r="Q248" s="5">
        <v>167.9</v>
      </c>
      <c r="R248" s="5">
        <v>149.9</v>
      </c>
      <c r="S248" s="5">
        <v>141</v>
      </c>
      <c r="T248" s="5">
        <v>148.6</v>
      </c>
      <c r="U248" s="5">
        <v>153.5</v>
      </c>
      <c r="V248" s="5">
        <v>142.30000000000001</v>
      </c>
      <c r="W248" s="5">
        <v>145.30000000000001</v>
      </c>
      <c r="X248" s="5">
        <v>149.9</v>
      </c>
      <c r="Y248" s="5">
        <v>126.6</v>
      </c>
      <c r="Z248" s="5">
        <v>142.1</v>
      </c>
      <c r="AA248" s="5">
        <v>155.5</v>
      </c>
      <c r="AB248" s="5">
        <v>140.30000000000001</v>
      </c>
      <c r="AC248" s="5">
        <v>141.30000000000001</v>
      </c>
      <c r="AD248" s="5">
        <v>148.6</v>
      </c>
    </row>
    <row r="249" spans="1:30" x14ac:dyDescent="0.35">
      <c r="A249" s="5" t="s">
        <v>30</v>
      </c>
      <c r="B249" s="5">
        <v>2019</v>
      </c>
      <c r="C249" s="5" t="s">
        <v>46</v>
      </c>
      <c r="D249" s="11">
        <v>142.80000000000001</v>
      </c>
      <c r="E249" s="5">
        <v>165.3</v>
      </c>
      <c r="F249" s="5">
        <v>149.5</v>
      </c>
      <c r="G249" s="5">
        <v>148.69999999999999</v>
      </c>
      <c r="H249" s="5">
        <v>127.5</v>
      </c>
      <c r="I249" s="5">
        <v>144.30000000000001</v>
      </c>
      <c r="J249" s="5">
        <v>209.5</v>
      </c>
      <c r="K249" s="5">
        <v>138.80000000000001</v>
      </c>
      <c r="L249" s="5">
        <v>113.6</v>
      </c>
      <c r="M249" s="5">
        <v>149.1</v>
      </c>
      <c r="N249" s="5">
        <v>139.30000000000001</v>
      </c>
      <c r="O249" s="5">
        <v>158.30000000000001</v>
      </c>
      <c r="P249" s="5">
        <v>154.30000000000001</v>
      </c>
      <c r="Q249" s="5">
        <v>167.8</v>
      </c>
      <c r="R249" s="5">
        <v>152.6</v>
      </c>
      <c r="S249" s="5">
        <v>147.30000000000001</v>
      </c>
      <c r="T249" s="5">
        <v>151.9</v>
      </c>
      <c r="U249" s="5" t="s">
        <v>32</v>
      </c>
      <c r="V249" s="5">
        <v>149.9</v>
      </c>
      <c r="W249" s="5">
        <v>151.19999999999999</v>
      </c>
      <c r="X249" s="5">
        <v>154.80000000000001</v>
      </c>
      <c r="Y249" s="5">
        <v>135</v>
      </c>
      <c r="Z249" s="5">
        <v>149.5</v>
      </c>
      <c r="AA249" s="5">
        <v>161.1</v>
      </c>
      <c r="AB249" s="5">
        <v>140.6</v>
      </c>
      <c r="AC249" s="5">
        <v>147.1</v>
      </c>
      <c r="AD249" s="5">
        <v>152.30000000000001</v>
      </c>
    </row>
    <row r="250" spans="1:30" x14ac:dyDescent="0.35">
      <c r="A250" s="5" t="s">
        <v>33</v>
      </c>
      <c r="B250" s="5">
        <v>2019</v>
      </c>
      <c r="C250" s="5" t="s">
        <v>46</v>
      </c>
      <c r="D250" s="11">
        <v>144.9</v>
      </c>
      <c r="E250" s="5">
        <v>164.5</v>
      </c>
      <c r="F250" s="5">
        <v>153.69999999999999</v>
      </c>
      <c r="G250" s="5">
        <v>147.5</v>
      </c>
      <c r="H250" s="5">
        <v>122.7</v>
      </c>
      <c r="I250" s="5">
        <v>147.19999999999999</v>
      </c>
      <c r="J250" s="5">
        <v>231.5</v>
      </c>
      <c r="K250" s="5">
        <v>137.19999999999999</v>
      </c>
      <c r="L250" s="5">
        <v>114.7</v>
      </c>
      <c r="M250" s="5">
        <v>148</v>
      </c>
      <c r="N250" s="5">
        <v>130.80000000000001</v>
      </c>
      <c r="O250" s="5">
        <v>157.69999999999999</v>
      </c>
      <c r="P250" s="5">
        <v>156.30000000000001</v>
      </c>
      <c r="Q250" s="5">
        <v>170.4</v>
      </c>
      <c r="R250" s="5">
        <v>146.80000000000001</v>
      </c>
      <c r="S250" s="5">
        <v>132.80000000000001</v>
      </c>
      <c r="T250" s="5">
        <v>144.6</v>
      </c>
      <c r="U250" s="5">
        <v>152.80000000000001</v>
      </c>
      <c r="V250" s="5">
        <v>133.6</v>
      </c>
      <c r="W250" s="5">
        <v>139.80000000000001</v>
      </c>
      <c r="X250" s="5">
        <v>143.19999999999999</v>
      </c>
      <c r="Y250" s="5">
        <v>125.2</v>
      </c>
      <c r="Z250" s="5">
        <v>136.80000000000001</v>
      </c>
      <c r="AA250" s="5">
        <v>151.9</v>
      </c>
      <c r="AB250" s="5">
        <v>140.19999999999999</v>
      </c>
      <c r="AC250" s="5">
        <v>137.69999999999999</v>
      </c>
      <c r="AD250" s="5">
        <v>148.30000000000001</v>
      </c>
    </row>
    <row r="251" spans="1:30" x14ac:dyDescent="0.35">
      <c r="A251" s="5" t="s">
        <v>34</v>
      </c>
      <c r="B251" s="5">
        <v>2019</v>
      </c>
      <c r="C251" s="5" t="s">
        <v>46</v>
      </c>
      <c r="D251" s="11">
        <v>143.5</v>
      </c>
      <c r="E251" s="5">
        <v>165</v>
      </c>
      <c r="F251" s="5">
        <v>151.1</v>
      </c>
      <c r="G251" s="5">
        <v>148.30000000000001</v>
      </c>
      <c r="H251" s="5">
        <v>125.7</v>
      </c>
      <c r="I251" s="5">
        <v>145.69999999999999</v>
      </c>
      <c r="J251" s="5">
        <v>217</v>
      </c>
      <c r="K251" s="5">
        <v>138.30000000000001</v>
      </c>
      <c r="L251" s="5">
        <v>114</v>
      </c>
      <c r="M251" s="5">
        <v>148.69999999999999</v>
      </c>
      <c r="N251" s="5">
        <v>135.80000000000001</v>
      </c>
      <c r="O251" s="5">
        <v>158</v>
      </c>
      <c r="P251" s="5">
        <v>155</v>
      </c>
      <c r="Q251" s="5">
        <v>168.5</v>
      </c>
      <c r="R251" s="5">
        <v>150.30000000000001</v>
      </c>
      <c r="S251" s="5">
        <v>141.30000000000001</v>
      </c>
      <c r="T251" s="5">
        <v>149</v>
      </c>
      <c r="U251" s="5">
        <v>152.80000000000001</v>
      </c>
      <c r="V251" s="5">
        <v>143.69999999999999</v>
      </c>
      <c r="W251" s="5">
        <v>145.80000000000001</v>
      </c>
      <c r="X251" s="5">
        <v>150.4</v>
      </c>
      <c r="Y251" s="5">
        <v>129.80000000000001</v>
      </c>
      <c r="Z251" s="5">
        <v>142.30000000000001</v>
      </c>
      <c r="AA251" s="5">
        <v>155.69999999999999</v>
      </c>
      <c r="AB251" s="5">
        <v>140.4</v>
      </c>
      <c r="AC251" s="5">
        <v>142.5</v>
      </c>
      <c r="AD251" s="5">
        <v>150.4</v>
      </c>
    </row>
    <row r="252" spans="1:30" x14ac:dyDescent="0.35">
      <c r="A252" s="5" t="s">
        <v>30</v>
      </c>
      <c r="B252" s="5">
        <v>2020</v>
      </c>
      <c r="C252" s="5" t="s">
        <v>31</v>
      </c>
      <c r="D252" s="11">
        <v>143.69999999999999</v>
      </c>
      <c r="E252" s="5">
        <v>167.3</v>
      </c>
      <c r="F252" s="5">
        <v>153.5</v>
      </c>
      <c r="G252" s="5">
        <v>150.5</v>
      </c>
      <c r="H252" s="5">
        <v>132</v>
      </c>
      <c r="I252" s="5">
        <v>142.19999999999999</v>
      </c>
      <c r="J252" s="5">
        <v>191.5</v>
      </c>
      <c r="K252" s="5">
        <v>141.1</v>
      </c>
      <c r="L252" s="5">
        <v>113.8</v>
      </c>
      <c r="M252" s="5">
        <v>151.6</v>
      </c>
      <c r="N252" s="5">
        <v>139.69999999999999</v>
      </c>
      <c r="O252" s="5">
        <v>158.69999999999999</v>
      </c>
      <c r="P252" s="5">
        <v>153</v>
      </c>
      <c r="Q252" s="5">
        <v>168.6</v>
      </c>
      <c r="R252" s="5">
        <v>152.80000000000001</v>
      </c>
      <c r="S252" s="5">
        <v>147.4</v>
      </c>
      <c r="T252" s="5">
        <v>152.1</v>
      </c>
      <c r="U252" s="5" t="s">
        <v>32</v>
      </c>
      <c r="V252" s="5">
        <v>150.4</v>
      </c>
      <c r="W252" s="5">
        <v>151.69999999999999</v>
      </c>
      <c r="X252" s="5">
        <v>155.69999999999999</v>
      </c>
      <c r="Y252" s="5">
        <v>136.30000000000001</v>
      </c>
      <c r="Z252" s="5">
        <v>150.1</v>
      </c>
      <c r="AA252" s="5">
        <v>161.69999999999999</v>
      </c>
      <c r="AB252" s="5">
        <v>142.5</v>
      </c>
      <c r="AC252" s="5">
        <v>148.1</v>
      </c>
      <c r="AD252" s="5">
        <v>151.9</v>
      </c>
    </row>
    <row r="253" spans="1:30" x14ac:dyDescent="0.35">
      <c r="A253" s="5" t="s">
        <v>33</v>
      </c>
      <c r="B253" s="5">
        <v>2020</v>
      </c>
      <c r="C253" s="5" t="s">
        <v>31</v>
      </c>
      <c r="D253" s="11">
        <v>145.6</v>
      </c>
      <c r="E253" s="5">
        <v>167.6</v>
      </c>
      <c r="F253" s="5">
        <v>157</v>
      </c>
      <c r="G253" s="5">
        <v>149.30000000000001</v>
      </c>
      <c r="H253" s="5">
        <v>126.3</v>
      </c>
      <c r="I253" s="5">
        <v>144.4</v>
      </c>
      <c r="J253" s="5">
        <v>207.8</v>
      </c>
      <c r="K253" s="5">
        <v>139.1</v>
      </c>
      <c r="L253" s="5">
        <v>114.8</v>
      </c>
      <c r="M253" s="5">
        <v>149.5</v>
      </c>
      <c r="N253" s="5">
        <v>131.1</v>
      </c>
      <c r="O253" s="5">
        <v>158.5</v>
      </c>
      <c r="P253" s="5">
        <v>154.4</v>
      </c>
      <c r="Q253" s="5">
        <v>170.8</v>
      </c>
      <c r="R253" s="5">
        <v>147</v>
      </c>
      <c r="S253" s="5">
        <v>133.19999999999999</v>
      </c>
      <c r="T253" s="5">
        <v>144.9</v>
      </c>
      <c r="U253" s="5">
        <v>153.9</v>
      </c>
      <c r="V253" s="5">
        <v>135.1</v>
      </c>
      <c r="W253" s="5">
        <v>140.1</v>
      </c>
      <c r="X253" s="5">
        <v>143.80000000000001</v>
      </c>
      <c r="Y253" s="5">
        <v>126.1</v>
      </c>
      <c r="Z253" s="5">
        <v>137.19999999999999</v>
      </c>
      <c r="AA253" s="5">
        <v>152.1</v>
      </c>
      <c r="AB253" s="5">
        <v>142.1</v>
      </c>
      <c r="AC253" s="5">
        <v>138.4</v>
      </c>
      <c r="AD253" s="5">
        <v>148.19999999999999</v>
      </c>
    </row>
    <row r="254" spans="1:30" x14ac:dyDescent="0.35">
      <c r="A254" s="5" t="s">
        <v>34</v>
      </c>
      <c r="B254" s="5">
        <v>2020</v>
      </c>
      <c r="C254" s="5" t="s">
        <v>31</v>
      </c>
      <c r="D254" s="11">
        <v>144.30000000000001</v>
      </c>
      <c r="E254" s="5">
        <v>167.4</v>
      </c>
      <c r="F254" s="5">
        <v>154.9</v>
      </c>
      <c r="G254" s="5">
        <v>150.1</v>
      </c>
      <c r="H254" s="5">
        <v>129.9</v>
      </c>
      <c r="I254" s="5">
        <v>143.19999999999999</v>
      </c>
      <c r="J254" s="5">
        <v>197</v>
      </c>
      <c r="K254" s="5">
        <v>140.4</v>
      </c>
      <c r="L254" s="5">
        <v>114.1</v>
      </c>
      <c r="M254" s="5">
        <v>150.9</v>
      </c>
      <c r="N254" s="5">
        <v>136.1</v>
      </c>
      <c r="O254" s="5">
        <v>158.6</v>
      </c>
      <c r="P254" s="5">
        <v>153.5</v>
      </c>
      <c r="Q254" s="5">
        <v>169.2</v>
      </c>
      <c r="R254" s="5">
        <v>150.5</v>
      </c>
      <c r="S254" s="5">
        <v>141.5</v>
      </c>
      <c r="T254" s="5">
        <v>149.19999999999999</v>
      </c>
      <c r="U254" s="5">
        <v>153.9</v>
      </c>
      <c r="V254" s="5">
        <v>144.6</v>
      </c>
      <c r="W254" s="5">
        <v>146.19999999999999</v>
      </c>
      <c r="X254" s="5">
        <v>151.19999999999999</v>
      </c>
      <c r="Y254" s="5">
        <v>130.9</v>
      </c>
      <c r="Z254" s="5">
        <v>142.80000000000001</v>
      </c>
      <c r="AA254" s="5">
        <v>156.1</v>
      </c>
      <c r="AB254" s="5">
        <v>142.30000000000001</v>
      </c>
      <c r="AC254" s="5">
        <v>143.4</v>
      </c>
      <c r="AD254" s="5">
        <v>150.19999999999999</v>
      </c>
    </row>
    <row r="255" spans="1:30" x14ac:dyDescent="0.35">
      <c r="A255" s="5" t="s">
        <v>30</v>
      </c>
      <c r="B255" s="5">
        <v>2020</v>
      </c>
      <c r="C255" s="5" t="s">
        <v>35</v>
      </c>
      <c r="D255" s="11">
        <v>144.19999999999999</v>
      </c>
      <c r="E255" s="5">
        <v>167.5</v>
      </c>
      <c r="F255" s="5">
        <v>150.9</v>
      </c>
      <c r="G255" s="5">
        <v>150.9</v>
      </c>
      <c r="H255" s="5">
        <v>133.69999999999999</v>
      </c>
      <c r="I255" s="5">
        <v>140.69999999999999</v>
      </c>
      <c r="J255" s="5">
        <v>165.1</v>
      </c>
      <c r="K255" s="5">
        <v>141.80000000000001</v>
      </c>
      <c r="L255" s="5">
        <v>113.1</v>
      </c>
      <c r="M255" s="5">
        <v>152.80000000000001</v>
      </c>
      <c r="N255" s="5">
        <v>140.1</v>
      </c>
      <c r="O255" s="5">
        <v>159.19999999999999</v>
      </c>
      <c r="P255" s="5">
        <v>149.80000000000001</v>
      </c>
      <c r="Q255" s="5">
        <v>169.4</v>
      </c>
      <c r="R255" s="5">
        <v>153</v>
      </c>
      <c r="S255" s="5">
        <v>147.5</v>
      </c>
      <c r="T255" s="5">
        <v>152.30000000000001</v>
      </c>
      <c r="U255" s="5" t="s">
        <v>32</v>
      </c>
      <c r="V255" s="5">
        <v>152.30000000000001</v>
      </c>
      <c r="W255" s="5">
        <v>151.80000000000001</v>
      </c>
      <c r="X255" s="5">
        <v>156.19999999999999</v>
      </c>
      <c r="Y255" s="5">
        <v>136</v>
      </c>
      <c r="Z255" s="5">
        <v>150.4</v>
      </c>
      <c r="AA255" s="5">
        <v>161.9</v>
      </c>
      <c r="AB255" s="5">
        <v>143.4</v>
      </c>
      <c r="AC255" s="5">
        <v>148.4</v>
      </c>
      <c r="AD255" s="5">
        <v>150.4</v>
      </c>
    </row>
    <row r="256" spans="1:30" x14ac:dyDescent="0.35">
      <c r="A256" s="5" t="s">
        <v>33</v>
      </c>
      <c r="B256" s="5">
        <v>2020</v>
      </c>
      <c r="C256" s="5" t="s">
        <v>35</v>
      </c>
      <c r="D256" s="11">
        <v>146.19999999999999</v>
      </c>
      <c r="E256" s="5">
        <v>167.6</v>
      </c>
      <c r="F256" s="5">
        <v>153.1</v>
      </c>
      <c r="G256" s="5">
        <v>150.69999999999999</v>
      </c>
      <c r="H256" s="5">
        <v>127.4</v>
      </c>
      <c r="I256" s="5">
        <v>143.1</v>
      </c>
      <c r="J256" s="5">
        <v>181.7</v>
      </c>
      <c r="K256" s="5">
        <v>139.6</v>
      </c>
      <c r="L256" s="5">
        <v>114.6</v>
      </c>
      <c r="M256" s="5">
        <v>150.4</v>
      </c>
      <c r="N256" s="5">
        <v>131.5</v>
      </c>
      <c r="O256" s="5">
        <v>159</v>
      </c>
      <c r="P256" s="5">
        <v>151.69999999999999</v>
      </c>
      <c r="Q256" s="5">
        <v>172</v>
      </c>
      <c r="R256" s="5">
        <v>147.30000000000001</v>
      </c>
      <c r="S256" s="5">
        <v>133.5</v>
      </c>
      <c r="T256" s="5">
        <v>145.19999999999999</v>
      </c>
      <c r="U256" s="5">
        <v>154.80000000000001</v>
      </c>
      <c r="V256" s="5">
        <v>138.9</v>
      </c>
      <c r="W256" s="5">
        <v>140.4</v>
      </c>
      <c r="X256" s="5">
        <v>144.4</v>
      </c>
      <c r="Y256" s="5">
        <v>125.2</v>
      </c>
      <c r="Z256" s="5">
        <v>137.69999999999999</v>
      </c>
      <c r="AA256" s="5">
        <v>152.19999999999999</v>
      </c>
      <c r="AB256" s="5">
        <v>143.5</v>
      </c>
      <c r="AC256" s="5">
        <v>138.4</v>
      </c>
      <c r="AD256" s="5">
        <v>147.69999999999999</v>
      </c>
    </row>
    <row r="257" spans="1:31" x14ac:dyDescent="0.35">
      <c r="A257" s="5" t="s">
        <v>34</v>
      </c>
      <c r="B257" s="5">
        <v>2020</v>
      </c>
      <c r="C257" s="5" t="s">
        <v>35</v>
      </c>
      <c r="D257" s="11">
        <v>144.80000000000001</v>
      </c>
      <c r="E257" s="5">
        <v>167.5</v>
      </c>
      <c r="F257" s="5">
        <v>151.80000000000001</v>
      </c>
      <c r="G257" s="5">
        <v>150.80000000000001</v>
      </c>
      <c r="H257" s="5">
        <v>131.4</v>
      </c>
      <c r="I257" s="5">
        <v>141.80000000000001</v>
      </c>
      <c r="J257" s="5">
        <v>170.7</v>
      </c>
      <c r="K257" s="5">
        <v>141.1</v>
      </c>
      <c r="L257" s="5">
        <v>113.6</v>
      </c>
      <c r="M257" s="5">
        <v>152</v>
      </c>
      <c r="N257" s="5">
        <v>136.5</v>
      </c>
      <c r="O257" s="5">
        <v>159.1</v>
      </c>
      <c r="P257" s="5">
        <v>150.5</v>
      </c>
      <c r="Q257" s="5">
        <v>170.1</v>
      </c>
      <c r="R257" s="5">
        <v>150.80000000000001</v>
      </c>
      <c r="S257" s="5">
        <v>141.69999999999999</v>
      </c>
      <c r="T257" s="5">
        <v>149.5</v>
      </c>
      <c r="U257" s="5">
        <v>154.80000000000001</v>
      </c>
      <c r="V257" s="5">
        <v>147.19999999999999</v>
      </c>
      <c r="W257" s="5">
        <v>146.4</v>
      </c>
      <c r="X257" s="5">
        <v>151.69999999999999</v>
      </c>
      <c r="Y257" s="5">
        <v>130.30000000000001</v>
      </c>
      <c r="Z257" s="5">
        <v>143.19999999999999</v>
      </c>
      <c r="AA257" s="5">
        <v>156.19999999999999</v>
      </c>
      <c r="AB257" s="5">
        <v>143.4</v>
      </c>
      <c r="AC257" s="5">
        <v>143.6</v>
      </c>
      <c r="AD257" s="5">
        <v>149.1</v>
      </c>
    </row>
    <row r="258" spans="1:31" x14ac:dyDescent="0.35">
      <c r="A258" s="5" t="s">
        <v>30</v>
      </c>
      <c r="B258" s="5">
        <v>2020</v>
      </c>
      <c r="C258" s="5" t="s">
        <v>36</v>
      </c>
      <c r="D258" s="11">
        <v>144.4</v>
      </c>
      <c r="E258" s="5">
        <v>166.8</v>
      </c>
      <c r="F258" s="5">
        <v>147.6</v>
      </c>
      <c r="G258" s="5">
        <v>151.69999999999999</v>
      </c>
      <c r="H258" s="5">
        <v>133.30000000000001</v>
      </c>
      <c r="I258" s="5">
        <v>141.80000000000001</v>
      </c>
      <c r="J258" s="5">
        <v>152.30000000000001</v>
      </c>
      <c r="K258" s="5">
        <v>141.80000000000001</v>
      </c>
      <c r="L258" s="5">
        <v>112.6</v>
      </c>
      <c r="M258" s="5">
        <v>154</v>
      </c>
      <c r="N258" s="5">
        <v>140.1</v>
      </c>
      <c r="O258" s="5">
        <v>160</v>
      </c>
      <c r="P258" s="5">
        <v>148.19999999999999</v>
      </c>
      <c r="Q258" s="5">
        <v>170.5</v>
      </c>
      <c r="R258" s="5">
        <v>153.4</v>
      </c>
      <c r="S258" s="5">
        <v>147.6</v>
      </c>
      <c r="T258" s="5">
        <v>152.5</v>
      </c>
      <c r="U258" s="5" t="s">
        <v>32</v>
      </c>
      <c r="V258" s="5">
        <v>153.4</v>
      </c>
      <c r="W258" s="5">
        <v>151.5</v>
      </c>
      <c r="X258" s="5">
        <v>156.69999999999999</v>
      </c>
      <c r="Y258" s="5">
        <v>135.80000000000001</v>
      </c>
      <c r="Z258" s="5">
        <v>151.19999999999999</v>
      </c>
      <c r="AA258" s="5">
        <v>161.19999999999999</v>
      </c>
      <c r="AB258" s="5">
        <v>145.1</v>
      </c>
      <c r="AC258" s="5">
        <v>148.6</v>
      </c>
      <c r="AD258" s="5">
        <v>149.80000000000001</v>
      </c>
    </row>
    <row r="259" spans="1:31" x14ac:dyDescent="0.35">
      <c r="A259" s="5" t="s">
        <v>33</v>
      </c>
      <c r="B259" s="5">
        <v>2020</v>
      </c>
      <c r="C259" s="5" t="s">
        <v>36</v>
      </c>
      <c r="D259" s="11">
        <v>146.5</v>
      </c>
      <c r="E259" s="5">
        <v>167.5</v>
      </c>
      <c r="F259" s="5">
        <v>148.9</v>
      </c>
      <c r="G259" s="5">
        <v>151.1</v>
      </c>
      <c r="H259" s="5">
        <v>127.5</v>
      </c>
      <c r="I259" s="5">
        <v>143.30000000000001</v>
      </c>
      <c r="J259" s="5">
        <v>167</v>
      </c>
      <c r="K259" s="5">
        <v>139.69999999999999</v>
      </c>
      <c r="L259" s="5">
        <v>114.4</v>
      </c>
      <c r="M259" s="5">
        <v>151.5</v>
      </c>
      <c r="N259" s="5">
        <v>131.9</v>
      </c>
      <c r="O259" s="5">
        <v>159.1</v>
      </c>
      <c r="P259" s="5">
        <v>150.1</v>
      </c>
      <c r="Q259" s="5">
        <v>173.3</v>
      </c>
      <c r="R259" s="5">
        <v>147.69999999999999</v>
      </c>
      <c r="S259" s="5">
        <v>133.80000000000001</v>
      </c>
      <c r="T259" s="5">
        <v>145.6</v>
      </c>
      <c r="U259" s="5">
        <v>154.5</v>
      </c>
      <c r="V259" s="5">
        <v>141.4</v>
      </c>
      <c r="W259" s="5">
        <v>140.80000000000001</v>
      </c>
      <c r="X259" s="5">
        <v>145</v>
      </c>
      <c r="Y259" s="5">
        <v>124.6</v>
      </c>
      <c r="Z259" s="5">
        <v>137.9</v>
      </c>
      <c r="AA259" s="5">
        <v>152.5</v>
      </c>
      <c r="AB259" s="5">
        <v>145.30000000000001</v>
      </c>
      <c r="AC259" s="5">
        <v>138.69999999999999</v>
      </c>
      <c r="AD259" s="5">
        <v>147.30000000000001</v>
      </c>
    </row>
    <row r="260" spans="1:31" x14ac:dyDescent="0.35">
      <c r="A260" s="5" t="s">
        <v>34</v>
      </c>
      <c r="B260" s="5">
        <v>2020</v>
      </c>
      <c r="C260" s="5" t="s">
        <v>36</v>
      </c>
      <c r="D260" s="11">
        <v>145.1</v>
      </c>
      <c r="E260" s="5">
        <v>167</v>
      </c>
      <c r="F260" s="5">
        <v>148.1</v>
      </c>
      <c r="G260" s="5">
        <v>151.5</v>
      </c>
      <c r="H260" s="5">
        <v>131.19999999999999</v>
      </c>
      <c r="I260" s="5">
        <v>142.5</v>
      </c>
      <c r="J260" s="5">
        <v>157.30000000000001</v>
      </c>
      <c r="K260" s="5">
        <v>141.1</v>
      </c>
      <c r="L260" s="5">
        <v>113.2</v>
      </c>
      <c r="M260" s="5">
        <v>153.19999999999999</v>
      </c>
      <c r="N260" s="5">
        <v>136.69999999999999</v>
      </c>
      <c r="O260" s="5">
        <v>159.6</v>
      </c>
      <c r="P260" s="5">
        <v>148.9</v>
      </c>
      <c r="Q260" s="5">
        <v>171.2</v>
      </c>
      <c r="R260" s="5">
        <v>151.19999999999999</v>
      </c>
      <c r="S260" s="5">
        <v>141.9</v>
      </c>
      <c r="T260" s="5">
        <v>149.80000000000001</v>
      </c>
      <c r="U260" s="5">
        <v>154.5</v>
      </c>
      <c r="V260" s="5">
        <v>148.9</v>
      </c>
      <c r="W260" s="5">
        <v>146.4</v>
      </c>
      <c r="X260" s="5">
        <v>152.30000000000001</v>
      </c>
      <c r="Y260" s="5">
        <v>129.9</v>
      </c>
      <c r="Z260" s="5">
        <v>143.69999999999999</v>
      </c>
      <c r="AA260" s="5">
        <v>156.1</v>
      </c>
      <c r="AB260" s="5">
        <v>145.19999999999999</v>
      </c>
      <c r="AC260" s="5">
        <v>143.80000000000001</v>
      </c>
      <c r="AD260" s="5">
        <v>148.6</v>
      </c>
    </row>
    <row r="261" spans="1:31" x14ac:dyDescent="0.35">
      <c r="A261" s="5" t="s">
        <v>30</v>
      </c>
      <c r="B261" s="5">
        <v>2020</v>
      </c>
      <c r="C261" s="5" t="s">
        <v>37</v>
      </c>
      <c r="D261" s="11">
        <v>147.19999999999999</v>
      </c>
      <c r="E261" s="5">
        <v>143.75</v>
      </c>
      <c r="F261" s="5">
        <v>146.9</v>
      </c>
      <c r="G261" s="5">
        <v>155.6</v>
      </c>
      <c r="H261" s="5">
        <v>137.1</v>
      </c>
      <c r="I261" s="5">
        <v>147.30000000000001</v>
      </c>
      <c r="J261" s="5">
        <v>162.69999999999999</v>
      </c>
      <c r="K261" s="5">
        <v>150.19999999999999</v>
      </c>
      <c r="L261" s="5">
        <v>119.8</v>
      </c>
      <c r="M261" s="5">
        <v>158.69999999999999</v>
      </c>
      <c r="N261" s="5">
        <v>139.19999999999999</v>
      </c>
      <c r="O261" s="5">
        <v>151.55000000000001</v>
      </c>
      <c r="P261" s="5">
        <v>150.1</v>
      </c>
      <c r="Q261" s="6">
        <v>153.00803571428568</v>
      </c>
      <c r="R261" s="5">
        <v>143.1</v>
      </c>
      <c r="S261" s="5">
        <v>135.1</v>
      </c>
      <c r="T261" s="5">
        <v>142</v>
      </c>
      <c r="U261" s="5" t="s">
        <v>32</v>
      </c>
      <c r="V261" s="5">
        <v>148.4</v>
      </c>
      <c r="W261" s="6">
        <v>139.21339285714285</v>
      </c>
      <c r="X261" s="5">
        <v>154.30000000000001</v>
      </c>
      <c r="Y261" s="5">
        <v>122.35</v>
      </c>
      <c r="Z261" s="6">
        <v>134</v>
      </c>
      <c r="AA261" s="5">
        <v>141.5</v>
      </c>
      <c r="AB261" s="6">
        <v>128.35</v>
      </c>
      <c r="AC261" s="6">
        <v>132.10000000000002</v>
      </c>
      <c r="AD261" s="6">
        <v>138.89999999999998</v>
      </c>
      <c r="AE261" s="2"/>
    </row>
    <row r="262" spans="1:31" x14ac:dyDescent="0.35">
      <c r="A262" s="5" t="s">
        <v>33</v>
      </c>
      <c r="B262" s="5">
        <v>2020</v>
      </c>
      <c r="C262" s="5" t="s">
        <v>37</v>
      </c>
      <c r="D262" s="11">
        <v>151.80000000000001</v>
      </c>
      <c r="E262" s="5">
        <v>144.1</v>
      </c>
      <c r="F262" s="5">
        <v>151.9</v>
      </c>
      <c r="G262" s="5">
        <v>155.5</v>
      </c>
      <c r="H262" s="5">
        <v>131.6</v>
      </c>
      <c r="I262" s="5">
        <v>152.9</v>
      </c>
      <c r="J262" s="5">
        <v>180</v>
      </c>
      <c r="K262" s="5">
        <v>150.80000000000001</v>
      </c>
      <c r="L262" s="5">
        <v>121.2</v>
      </c>
      <c r="M262" s="5">
        <v>154</v>
      </c>
      <c r="N262" s="5">
        <v>133.5</v>
      </c>
      <c r="O262" s="5">
        <v>146.55000000000001</v>
      </c>
      <c r="P262" s="5">
        <v>153.5</v>
      </c>
      <c r="Q262" s="6">
        <v>157.11249999999998</v>
      </c>
      <c r="R262" s="5">
        <v>148.25</v>
      </c>
      <c r="S262" s="5">
        <v>142.10000000000002</v>
      </c>
      <c r="T262" s="5">
        <v>147.4</v>
      </c>
      <c r="U262" s="5">
        <v>155.6</v>
      </c>
      <c r="V262" s="5">
        <v>137.1</v>
      </c>
      <c r="W262" s="6">
        <v>129.4</v>
      </c>
      <c r="X262" s="5">
        <v>144.80000000000001</v>
      </c>
      <c r="Y262" s="5">
        <v>116</v>
      </c>
      <c r="Z262" s="6">
        <v>125.9</v>
      </c>
      <c r="AA262" s="5">
        <v>136.89999999999998</v>
      </c>
      <c r="AB262" s="6">
        <v>125.2</v>
      </c>
      <c r="AC262" s="6">
        <v>125.44999999999999</v>
      </c>
      <c r="AD262" s="5">
        <v>134.05000000000001</v>
      </c>
    </row>
    <row r="263" spans="1:31" x14ac:dyDescent="0.35">
      <c r="A263" s="5" t="s">
        <v>34</v>
      </c>
      <c r="B263" s="5">
        <v>2020</v>
      </c>
      <c r="C263" s="5" t="s">
        <v>37</v>
      </c>
      <c r="D263" s="11">
        <v>148.69999999999999</v>
      </c>
      <c r="E263" s="5">
        <v>144</v>
      </c>
      <c r="F263" s="5">
        <v>148.80000000000001</v>
      </c>
      <c r="G263" s="5">
        <v>155.6</v>
      </c>
      <c r="H263" s="5">
        <v>135.1</v>
      </c>
      <c r="I263" s="5">
        <v>149.9</v>
      </c>
      <c r="J263" s="5">
        <v>168.6</v>
      </c>
      <c r="K263" s="5">
        <v>150.4</v>
      </c>
      <c r="L263" s="5">
        <v>120.3</v>
      </c>
      <c r="M263" s="5">
        <v>157.1</v>
      </c>
      <c r="N263" s="5">
        <v>136.80000000000001</v>
      </c>
      <c r="O263" s="5">
        <v>149.25</v>
      </c>
      <c r="P263" s="5">
        <v>151.4</v>
      </c>
      <c r="Q263" s="6">
        <v>154.11785714285716</v>
      </c>
      <c r="R263" s="5">
        <v>135.80000000000001</v>
      </c>
      <c r="S263" s="5">
        <v>125.75</v>
      </c>
      <c r="T263" s="5">
        <v>134.19999999999999</v>
      </c>
      <c r="U263" s="5">
        <v>155.6</v>
      </c>
      <c r="V263" s="5">
        <v>144.1</v>
      </c>
      <c r="W263" s="6">
        <v>134.80000000000001</v>
      </c>
      <c r="X263" s="5">
        <v>150.69999999999999</v>
      </c>
      <c r="Y263" s="5">
        <v>118.9</v>
      </c>
      <c r="Z263" s="5">
        <v>129.35</v>
      </c>
      <c r="AA263" s="5">
        <v>138.80000000000001</v>
      </c>
      <c r="AB263" s="6">
        <v>127.05</v>
      </c>
      <c r="AC263" s="6">
        <v>128.85</v>
      </c>
      <c r="AD263" s="6" cm="1">
        <f t="array" aca="1" ref="AD263" ca="1">MEDIAN(IF($A$3:$A$374=$H263,$AD$3:$AD$374))</f>
        <v>136.80000000000001</v>
      </c>
      <c r="AE263" s="2"/>
    </row>
    <row r="264" spans="1:31" x14ac:dyDescent="0.35">
      <c r="A264" s="5" t="s">
        <v>30</v>
      </c>
      <c r="B264" s="5">
        <v>2020</v>
      </c>
      <c r="C264" s="5" t="s">
        <v>38</v>
      </c>
      <c r="D264" s="11">
        <v>135.32857142857145</v>
      </c>
      <c r="E264" s="5">
        <v>143.75</v>
      </c>
      <c r="F264" s="5">
        <v>135.69999999999999</v>
      </c>
      <c r="G264" s="5">
        <v>141.9</v>
      </c>
      <c r="H264" s="6">
        <v>123</v>
      </c>
      <c r="I264" s="5">
        <v>142.69999999999999</v>
      </c>
      <c r="J264" s="5">
        <v>149.05000000000001</v>
      </c>
      <c r="K264" s="5">
        <v>139.5</v>
      </c>
      <c r="L264" s="5">
        <v>112.94999999999999</v>
      </c>
      <c r="M264" s="5">
        <v>136.85000000000002</v>
      </c>
      <c r="N264" s="5">
        <v>131.64999999999998</v>
      </c>
      <c r="O264" s="5">
        <v>151.55000000000001</v>
      </c>
      <c r="P264" s="5">
        <v>138.64999999999998</v>
      </c>
      <c r="Q264" s="6">
        <v>153.00803571428568</v>
      </c>
      <c r="R264" s="5">
        <v>143.1</v>
      </c>
      <c r="S264" s="5">
        <v>135.1</v>
      </c>
      <c r="T264" s="5">
        <v>142</v>
      </c>
      <c r="U264" s="5" t="s">
        <v>32</v>
      </c>
      <c r="V264" s="6">
        <v>140.52032520325199</v>
      </c>
      <c r="W264" s="6">
        <v>139.21339285714285</v>
      </c>
      <c r="X264" s="5">
        <v>136.14999999999998</v>
      </c>
      <c r="Y264" s="5">
        <v>122.35</v>
      </c>
      <c r="Z264" s="6">
        <v>134</v>
      </c>
      <c r="AA264" s="5">
        <v>141.5</v>
      </c>
      <c r="AB264" s="6">
        <v>128.35</v>
      </c>
      <c r="AC264" s="6">
        <v>132.10000000000002</v>
      </c>
      <c r="AD264" s="6">
        <v>138.89999999999998</v>
      </c>
      <c r="AE264" s="2"/>
    </row>
    <row r="265" spans="1:31" x14ac:dyDescent="0.35">
      <c r="A265" s="5" t="s">
        <v>33</v>
      </c>
      <c r="B265" s="5">
        <v>2020</v>
      </c>
      <c r="C265" s="5" t="s">
        <v>38</v>
      </c>
      <c r="D265" s="11">
        <v>134.69999999999999</v>
      </c>
      <c r="E265" s="5">
        <v>144.1</v>
      </c>
      <c r="F265" s="5">
        <v>134.5</v>
      </c>
      <c r="G265" s="6">
        <v>139.55892857142859</v>
      </c>
      <c r="H265" s="5">
        <v>116.30000000000001</v>
      </c>
      <c r="I265" s="5">
        <v>137.6</v>
      </c>
      <c r="J265" s="5">
        <v>165.05</v>
      </c>
      <c r="K265" s="5">
        <v>138.14999999999998</v>
      </c>
      <c r="L265" s="5">
        <v>114.25</v>
      </c>
      <c r="M265" s="5">
        <v>141.1</v>
      </c>
      <c r="N265" s="5">
        <v>125.9</v>
      </c>
      <c r="O265" s="5">
        <v>146.55000000000001</v>
      </c>
      <c r="P265" s="6">
        <v>138.1</v>
      </c>
      <c r="Q265" s="6">
        <v>157.11249999999998</v>
      </c>
      <c r="R265" s="5">
        <v>148.25</v>
      </c>
      <c r="S265" s="5">
        <v>142.10000000000002</v>
      </c>
      <c r="T265" s="5">
        <v>147.4</v>
      </c>
      <c r="U265" s="5">
        <v>141.07500000000002</v>
      </c>
      <c r="V265" s="5">
        <v>125.6</v>
      </c>
      <c r="W265" s="6">
        <v>129.4</v>
      </c>
      <c r="X265" s="6">
        <v>129.4</v>
      </c>
      <c r="Y265" s="5">
        <v>116</v>
      </c>
      <c r="Z265" s="6">
        <v>125.9</v>
      </c>
      <c r="AA265" s="5">
        <v>136.89999999999998</v>
      </c>
      <c r="AB265" s="6">
        <v>125.2</v>
      </c>
      <c r="AC265" s="6">
        <v>125.44999999999999</v>
      </c>
      <c r="AD265" s="5">
        <v>134.05000000000001</v>
      </c>
    </row>
    <row r="266" spans="1:31" x14ac:dyDescent="0.35">
      <c r="A266" s="5" t="s">
        <v>34</v>
      </c>
      <c r="B266" s="5">
        <v>2020</v>
      </c>
      <c r="C266" s="5" t="s">
        <v>38</v>
      </c>
      <c r="D266" s="11">
        <v>135.70089285714283</v>
      </c>
      <c r="E266" s="5">
        <v>144</v>
      </c>
      <c r="F266" s="5">
        <v>135.35</v>
      </c>
      <c r="G266" s="5">
        <v>141.05000000000001</v>
      </c>
      <c r="H266" s="5">
        <v>120.6</v>
      </c>
      <c r="I266" s="5">
        <v>141.65</v>
      </c>
      <c r="J266" s="5">
        <v>154.65</v>
      </c>
      <c r="K266" s="5">
        <v>138.69999999999999</v>
      </c>
      <c r="L266" s="5">
        <v>113.35</v>
      </c>
      <c r="M266" s="5">
        <v>138.75</v>
      </c>
      <c r="N266" s="5">
        <v>129.05000000000001</v>
      </c>
      <c r="O266" s="5">
        <v>149.25</v>
      </c>
      <c r="P266" s="6">
        <v>138.30000000000001</v>
      </c>
      <c r="Q266" s="6">
        <v>154.11785714285716</v>
      </c>
      <c r="R266" s="5">
        <v>135.80000000000001</v>
      </c>
      <c r="S266" s="5">
        <v>125.75</v>
      </c>
      <c r="T266" s="5">
        <v>134.19999999999999</v>
      </c>
      <c r="U266" s="5">
        <v>140.85000000000002</v>
      </c>
      <c r="V266" s="5">
        <v>136.55000000000001</v>
      </c>
      <c r="W266" s="6">
        <v>134.80000000000001</v>
      </c>
      <c r="X266" s="5">
        <v>133.55000000000001</v>
      </c>
      <c r="Y266" s="5">
        <v>118.9</v>
      </c>
      <c r="Z266" s="5">
        <v>129.35</v>
      </c>
      <c r="AA266" s="5">
        <v>138.80000000000001</v>
      </c>
      <c r="AB266" s="6">
        <v>127.05</v>
      </c>
      <c r="AC266" s="6">
        <v>128.85</v>
      </c>
      <c r="AD266" s="6">
        <v>136.80000000000001</v>
      </c>
      <c r="AE266" s="2"/>
    </row>
    <row r="267" spans="1:31" x14ac:dyDescent="0.35">
      <c r="A267" s="5" t="s">
        <v>30</v>
      </c>
      <c r="B267" s="5">
        <v>2020</v>
      </c>
      <c r="C267" s="5" t="s">
        <v>39</v>
      </c>
      <c r="D267" s="11">
        <v>148.19999999999999</v>
      </c>
      <c r="E267" s="5">
        <v>190.3</v>
      </c>
      <c r="F267" s="5">
        <v>149.4</v>
      </c>
      <c r="G267" s="5">
        <v>153.30000000000001</v>
      </c>
      <c r="H267" s="5">
        <v>138.19999999999999</v>
      </c>
      <c r="I267" s="5">
        <v>143.19999999999999</v>
      </c>
      <c r="J267" s="5">
        <v>148.9</v>
      </c>
      <c r="K267" s="5">
        <v>150.30000000000001</v>
      </c>
      <c r="L267" s="5">
        <v>113.2</v>
      </c>
      <c r="M267" s="5">
        <v>159.80000000000001</v>
      </c>
      <c r="N267" s="5">
        <v>142.1</v>
      </c>
      <c r="O267" s="5">
        <v>161.80000000000001</v>
      </c>
      <c r="P267" s="5">
        <v>152.30000000000001</v>
      </c>
      <c r="Q267" s="5">
        <v>182.4</v>
      </c>
      <c r="R267" s="5">
        <v>154.69999999999999</v>
      </c>
      <c r="S267" s="5">
        <v>150</v>
      </c>
      <c r="T267" s="5">
        <v>154.1</v>
      </c>
      <c r="U267" s="5" t="s">
        <v>32</v>
      </c>
      <c r="V267" s="5">
        <v>144.9</v>
      </c>
      <c r="W267" s="5">
        <v>151.69999999999999</v>
      </c>
      <c r="X267" s="5">
        <v>158.19999999999999</v>
      </c>
      <c r="Y267" s="5">
        <v>141.4</v>
      </c>
      <c r="Z267" s="5">
        <v>153.19999999999999</v>
      </c>
      <c r="AA267" s="5">
        <v>161.80000000000001</v>
      </c>
      <c r="AB267" s="5">
        <v>151.19999999999999</v>
      </c>
      <c r="AC267" s="5">
        <v>151.69999999999999</v>
      </c>
      <c r="AD267" s="5">
        <v>152.69999999999999</v>
      </c>
    </row>
    <row r="268" spans="1:31" x14ac:dyDescent="0.35">
      <c r="A268" s="5" t="s">
        <v>33</v>
      </c>
      <c r="B268" s="5">
        <v>2020</v>
      </c>
      <c r="C268" s="5" t="s">
        <v>39</v>
      </c>
      <c r="D268" s="11">
        <v>152.69999999999999</v>
      </c>
      <c r="E268" s="5">
        <v>197</v>
      </c>
      <c r="F268" s="5">
        <v>154.6</v>
      </c>
      <c r="G268" s="5">
        <v>153.4</v>
      </c>
      <c r="H268" s="5">
        <v>132.9</v>
      </c>
      <c r="I268" s="5">
        <v>151.80000000000001</v>
      </c>
      <c r="J268" s="5">
        <v>171.2</v>
      </c>
      <c r="K268" s="5">
        <v>152</v>
      </c>
      <c r="L268" s="5">
        <v>116.3</v>
      </c>
      <c r="M268" s="5">
        <v>158.80000000000001</v>
      </c>
      <c r="N268" s="5">
        <v>135.6</v>
      </c>
      <c r="O268" s="5">
        <v>161.69999999999999</v>
      </c>
      <c r="P268" s="5">
        <v>157</v>
      </c>
      <c r="Q268" s="5">
        <v>186.7</v>
      </c>
      <c r="R268" s="5">
        <v>149.1</v>
      </c>
      <c r="S268" s="5">
        <v>136.6</v>
      </c>
      <c r="T268" s="5">
        <v>147.19999999999999</v>
      </c>
      <c r="U268" s="5">
        <v>154.69999999999999</v>
      </c>
      <c r="V268" s="5">
        <v>137.1</v>
      </c>
      <c r="W268" s="5">
        <v>140.4</v>
      </c>
      <c r="X268" s="5">
        <v>148.1</v>
      </c>
      <c r="Y268" s="5">
        <v>129.30000000000001</v>
      </c>
      <c r="Z268" s="5">
        <v>144.5</v>
      </c>
      <c r="AA268" s="5">
        <v>152.5</v>
      </c>
      <c r="AB268" s="5">
        <v>152.19999999999999</v>
      </c>
      <c r="AC268" s="5">
        <v>142</v>
      </c>
      <c r="AD268" s="5">
        <v>150.80000000000001</v>
      </c>
    </row>
    <row r="269" spans="1:31" x14ac:dyDescent="0.35">
      <c r="A269" s="5" t="s">
        <v>34</v>
      </c>
      <c r="B269" s="5">
        <v>2020</v>
      </c>
      <c r="C269" s="5" t="s">
        <v>39</v>
      </c>
      <c r="D269" s="11">
        <v>149.6</v>
      </c>
      <c r="E269" s="5">
        <v>192.7</v>
      </c>
      <c r="F269" s="5">
        <v>151.4</v>
      </c>
      <c r="G269" s="5">
        <v>153.30000000000001</v>
      </c>
      <c r="H269" s="5">
        <v>136.30000000000001</v>
      </c>
      <c r="I269" s="5">
        <v>147.19999999999999</v>
      </c>
      <c r="J269" s="5">
        <v>156.5</v>
      </c>
      <c r="K269" s="5">
        <v>150.9</v>
      </c>
      <c r="L269" s="5">
        <v>114.2</v>
      </c>
      <c r="M269" s="5">
        <v>159.5</v>
      </c>
      <c r="N269" s="5">
        <v>139.4</v>
      </c>
      <c r="O269" s="5">
        <v>161.80000000000001</v>
      </c>
      <c r="P269" s="5">
        <v>154</v>
      </c>
      <c r="Q269" s="5">
        <v>183.5</v>
      </c>
      <c r="R269" s="5">
        <v>152.5</v>
      </c>
      <c r="S269" s="5">
        <v>144.4</v>
      </c>
      <c r="T269" s="5">
        <v>151.4</v>
      </c>
      <c r="U269" s="5">
        <v>154.69999999999999</v>
      </c>
      <c r="V269" s="5">
        <v>141.9</v>
      </c>
      <c r="W269" s="5">
        <v>146.4</v>
      </c>
      <c r="X269" s="5">
        <v>154.4</v>
      </c>
      <c r="Y269" s="5">
        <v>135</v>
      </c>
      <c r="Z269" s="5">
        <v>148.30000000000001</v>
      </c>
      <c r="AA269" s="5">
        <v>156.4</v>
      </c>
      <c r="AB269" s="5">
        <v>151.6</v>
      </c>
      <c r="AC269" s="5">
        <v>147</v>
      </c>
      <c r="AD269" s="5">
        <v>151.80000000000001</v>
      </c>
    </row>
    <row r="270" spans="1:31" x14ac:dyDescent="0.35">
      <c r="A270" s="5" t="s">
        <v>30</v>
      </c>
      <c r="B270" s="5">
        <v>2020</v>
      </c>
      <c r="C270" s="5" t="s">
        <v>40</v>
      </c>
      <c r="D270" s="11">
        <v>148.19999999999999</v>
      </c>
      <c r="E270" s="5">
        <v>190.3</v>
      </c>
      <c r="F270" s="5">
        <v>149.4</v>
      </c>
      <c r="G270" s="5">
        <v>153.30000000000001</v>
      </c>
      <c r="H270" s="5">
        <v>138.19999999999999</v>
      </c>
      <c r="I270" s="5">
        <v>143.19999999999999</v>
      </c>
      <c r="J270" s="5">
        <v>148.9</v>
      </c>
      <c r="K270" s="5">
        <v>150.30000000000001</v>
      </c>
      <c r="L270" s="5">
        <v>113.2</v>
      </c>
      <c r="M270" s="5">
        <v>159.80000000000001</v>
      </c>
      <c r="N270" s="5">
        <v>142.1</v>
      </c>
      <c r="O270" s="5">
        <v>161.80000000000001</v>
      </c>
      <c r="P270" s="5">
        <v>152.30000000000001</v>
      </c>
      <c r="Q270" s="5">
        <v>182.4</v>
      </c>
      <c r="R270" s="5">
        <v>154.69999999999999</v>
      </c>
      <c r="S270" s="5">
        <v>150</v>
      </c>
      <c r="T270" s="5">
        <v>154.1</v>
      </c>
      <c r="U270" s="5" t="s">
        <v>32</v>
      </c>
      <c r="V270" s="5">
        <v>144.9</v>
      </c>
      <c r="W270" s="5">
        <v>151.69999999999999</v>
      </c>
      <c r="X270" s="5">
        <v>158.19999999999999</v>
      </c>
      <c r="Y270" s="5">
        <v>141.4</v>
      </c>
      <c r="Z270" s="5">
        <v>153.19999999999999</v>
      </c>
      <c r="AA270" s="5">
        <v>161.80000000000001</v>
      </c>
      <c r="AB270" s="5">
        <v>151.19999999999999</v>
      </c>
      <c r="AC270" s="5">
        <v>151.69999999999999</v>
      </c>
      <c r="AD270" s="5">
        <v>152.69999999999999</v>
      </c>
    </row>
    <row r="271" spans="1:31" x14ac:dyDescent="0.35">
      <c r="A271" s="5" t="s">
        <v>33</v>
      </c>
      <c r="B271" s="5">
        <v>2020</v>
      </c>
      <c r="C271" s="5" t="s">
        <v>40</v>
      </c>
      <c r="D271" s="11">
        <v>152.69999999999999</v>
      </c>
      <c r="E271" s="5">
        <v>197</v>
      </c>
      <c r="F271" s="5">
        <v>154.6</v>
      </c>
      <c r="G271" s="5">
        <v>153.4</v>
      </c>
      <c r="H271" s="5">
        <v>132.9</v>
      </c>
      <c r="I271" s="5">
        <v>151.80000000000001</v>
      </c>
      <c r="J271" s="5">
        <v>171.2</v>
      </c>
      <c r="K271" s="5">
        <v>152</v>
      </c>
      <c r="L271" s="5">
        <v>116.3</v>
      </c>
      <c r="M271" s="5">
        <v>158.80000000000001</v>
      </c>
      <c r="N271" s="5">
        <v>135.6</v>
      </c>
      <c r="O271" s="5">
        <v>161.69999999999999</v>
      </c>
      <c r="P271" s="5">
        <v>157</v>
      </c>
      <c r="Q271" s="5">
        <v>186.7</v>
      </c>
      <c r="R271" s="5">
        <v>149.1</v>
      </c>
      <c r="S271" s="5">
        <v>136.6</v>
      </c>
      <c r="T271" s="5">
        <v>147.19999999999999</v>
      </c>
      <c r="U271" s="5">
        <v>154.69999999999999</v>
      </c>
      <c r="V271" s="5">
        <v>137.1</v>
      </c>
      <c r="W271" s="5">
        <v>140.4</v>
      </c>
      <c r="X271" s="5">
        <v>148.1</v>
      </c>
      <c r="Y271" s="5">
        <v>129.30000000000001</v>
      </c>
      <c r="Z271" s="5">
        <v>144.5</v>
      </c>
      <c r="AA271" s="5">
        <v>152.5</v>
      </c>
      <c r="AB271" s="5">
        <v>152.19999999999999</v>
      </c>
      <c r="AC271" s="5">
        <v>142</v>
      </c>
      <c r="AD271" s="5">
        <v>150.80000000000001</v>
      </c>
    </row>
    <row r="272" spans="1:31" x14ac:dyDescent="0.35">
      <c r="A272" s="5" t="s">
        <v>34</v>
      </c>
      <c r="B272" s="5">
        <v>2020</v>
      </c>
      <c r="C272" s="5" t="s">
        <v>40</v>
      </c>
      <c r="D272" s="11">
        <v>149.6</v>
      </c>
      <c r="E272" s="5">
        <v>192.7</v>
      </c>
      <c r="F272" s="5">
        <v>151.4</v>
      </c>
      <c r="G272" s="5">
        <v>153.30000000000001</v>
      </c>
      <c r="H272" s="5">
        <v>136.30000000000001</v>
      </c>
      <c r="I272" s="5">
        <v>147.19999999999999</v>
      </c>
      <c r="J272" s="5">
        <v>156.5</v>
      </c>
      <c r="K272" s="5">
        <v>150.9</v>
      </c>
      <c r="L272" s="5">
        <v>114.2</v>
      </c>
      <c r="M272" s="5">
        <v>159.5</v>
      </c>
      <c r="N272" s="5">
        <v>139.4</v>
      </c>
      <c r="O272" s="5">
        <v>161.80000000000001</v>
      </c>
      <c r="P272" s="5">
        <v>154</v>
      </c>
      <c r="Q272" s="5">
        <v>183.5</v>
      </c>
      <c r="R272" s="5">
        <v>152.5</v>
      </c>
      <c r="S272" s="5">
        <v>144.4</v>
      </c>
      <c r="T272" s="5">
        <v>151.4</v>
      </c>
      <c r="U272" s="5">
        <v>154.69999999999999</v>
      </c>
      <c r="V272" s="5">
        <v>141.9</v>
      </c>
      <c r="W272" s="5">
        <v>146.4</v>
      </c>
      <c r="X272" s="5">
        <v>154.4</v>
      </c>
      <c r="Y272" s="5">
        <v>135</v>
      </c>
      <c r="Z272" s="5">
        <v>148.30000000000001</v>
      </c>
      <c r="AA272" s="5">
        <v>156.4</v>
      </c>
      <c r="AB272" s="5">
        <v>151.6</v>
      </c>
      <c r="AC272" s="5">
        <v>147</v>
      </c>
      <c r="AD272" s="5">
        <v>151.80000000000001</v>
      </c>
    </row>
    <row r="273" spans="1:30" x14ac:dyDescent="0.35">
      <c r="A273" s="5" t="s">
        <v>30</v>
      </c>
      <c r="B273" s="5">
        <v>2020</v>
      </c>
      <c r="C273" s="5" t="s">
        <v>41</v>
      </c>
      <c r="D273" s="11">
        <v>147.6</v>
      </c>
      <c r="E273" s="5">
        <v>187.2</v>
      </c>
      <c r="F273" s="5">
        <v>148.4</v>
      </c>
      <c r="G273" s="5">
        <v>153.30000000000001</v>
      </c>
      <c r="H273" s="5">
        <v>139.80000000000001</v>
      </c>
      <c r="I273" s="5">
        <v>146.9</v>
      </c>
      <c r="J273" s="5">
        <v>171</v>
      </c>
      <c r="K273" s="5">
        <v>149.9</v>
      </c>
      <c r="L273" s="5">
        <v>114.2</v>
      </c>
      <c r="M273" s="5">
        <v>160</v>
      </c>
      <c r="N273" s="5">
        <v>143.5</v>
      </c>
      <c r="O273" s="5">
        <v>161.5</v>
      </c>
      <c r="P273" s="5">
        <v>155.30000000000001</v>
      </c>
      <c r="Q273" s="5">
        <v>180.9</v>
      </c>
      <c r="R273" s="5">
        <v>155.1</v>
      </c>
      <c r="S273" s="5">
        <v>149.30000000000001</v>
      </c>
      <c r="T273" s="5">
        <v>154.30000000000001</v>
      </c>
      <c r="U273" s="5" t="s">
        <v>32</v>
      </c>
      <c r="V273" s="5">
        <v>145.80000000000001</v>
      </c>
      <c r="W273" s="5">
        <v>151.9</v>
      </c>
      <c r="X273" s="5">
        <v>158.80000000000001</v>
      </c>
      <c r="Y273" s="5">
        <v>143.6</v>
      </c>
      <c r="Z273" s="5">
        <v>152.19999999999999</v>
      </c>
      <c r="AA273" s="5">
        <v>162.69999999999999</v>
      </c>
      <c r="AB273" s="5">
        <v>153.6</v>
      </c>
      <c r="AC273" s="5">
        <v>153</v>
      </c>
      <c r="AD273" s="5">
        <v>154.69999999999999</v>
      </c>
    </row>
    <row r="274" spans="1:30" x14ac:dyDescent="0.35">
      <c r="A274" s="5" t="s">
        <v>33</v>
      </c>
      <c r="B274" s="5">
        <v>2020</v>
      </c>
      <c r="C274" s="5" t="s">
        <v>41</v>
      </c>
      <c r="D274" s="11">
        <v>151.6</v>
      </c>
      <c r="E274" s="5">
        <v>197.8</v>
      </c>
      <c r="F274" s="5">
        <v>154.5</v>
      </c>
      <c r="G274" s="5">
        <v>153.4</v>
      </c>
      <c r="H274" s="5">
        <v>133.4</v>
      </c>
      <c r="I274" s="5">
        <v>154.5</v>
      </c>
      <c r="J274" s="5">
        <v>191.9</v>
      </c>
      <c r="K274" s="5">
        <v>151.30000000000001</v>
      </c>
      <c r="L274" s="5">
        <v>116.8</v>
      </c>
      <c r="M274" s="5">
        <v>160</v>
      </c>
      <c r="N274" s="5">
        <v>136.5</v>
      </c>
      <c r="O274" s="5">
        <v>163.30000000000001</v>
      </c>
      <c r="P274" s="5">
        <v>159.9</v>
      </c>
      <c r="Q274" s="5">
        <v>187.2</v>
      </c>
      <c r="R274" s="5">
        <v>150</v>
      </c>
      <c r="S274" s="5">
        <v>135.19999999999999</v>
      </c>
      <c r="T274" s="5">
        <v>147.80000000000001</v>
      </c>
      <c r="U274" s="5">
        <v>155.5</v>
      </c>
      <c r="V274" s="5">
        <v>138.30000000000001</v>
      </c>
      <c r="W274" s="5">
        <v>144.5</v>
      </c>
      <c r="X274" s="5">
        <v>148.69999999999999</v>
      </c>
      <c r="Y274" s="5">
        <v>133.9</v>
      </c>
      <c r="Z274" s="5">
        <v>141.19999999999999</v>
      </c>
      <c r="AA274" s="5">
        <v>155.5</v>
      </c>
      <c r="AB274" s="5">
        <v>155.19999999999999</v>
      </c>
      <c r="AC274" s="5">
        <v>144.80000000000001</v>
      </c>
      <c r="AD274" s="5">
        <v>152.9</v>
      </c>
    </row>
    <row r="275" spans="1:30" x14ac:dyDescent="0.35">
      <c r="A275" s="5" t="s">
        <v>34</v>
      </c>
      <c r="B275" s="5">
        <v>2020</v>
      </c>
      <c r="C275" s="5" t="s">
        <v>41</v>
      </c>
      <c r="D275" s="11">
        <v>148.9</v>
      </c>
      <c r="E275" s="5">
        <v>190.9</v>
      </c>
      <c r="F275" s="5">
        <v>150.80000000000001</v>
      </c>
      <c r="G275" s="5">
        <v>153.30000000000001</v>
      </c>
      <c r="H275" s="5">
        <v>137.4</v>
      </c>
      <c r="I275" s="5">
        <v>150.4</v>
      </c>
      <c r="J275" s="5">
        <v>178.1</v>
      </c>
      <c r="K275" s="5">
        <v>150.4</v>
      </c>
      <c r="L275" s="5">
        <v>115.1</v>
      </c>
      <c r="M275" s="5">
        <v>160</v>
      </c>
      <c r="N275" s="5">
        <v>140.6</v>
      </c>
      <c r="O275" s="5">
        <v>162.30000000000001</v>
      </c>
      <c r="P275" s="5">
        <v>157</v>
      </c>
      <c r="Q275" s="5">
        <v>182.6</v>
      </c>
      <c r="R275" s="5">
        <v>153.1</v>
      </c>
      <c r="S275" s="5">
        <v>143.4</v>
      </c>
      <c r="T275" s="5">
        <v>151.69999999999999</v>
      </c>
      <c r="U275" s="5">
        <v>155.5</v>
      </c>
      <c r="V275" s="5">
        <v>143</v>
      </c>
      <c r="W275" s="5">
        <v>148.4</v>
      </c>
      <c r="X275" s="5">
        <v>155</v>
      </c>
      <c r="Y275" s="5">
        <v>138.5</v>
      </c>
      <c r="Z275" s="5">
        <v>146</v>
      </c>
      <c r="AA275" s="5">
        <v>158.5</v>
      </c>
      <c r="AB275" s="5">
        <v>154.30000000000001</v>
      </c>
      <c r="AC275" s="5">
        <v>149</v>
      </c>
      <c r="AD275" s="5">
        <v>153.9</v>
      </c>
    </row>
    <row r="276" spans="1:30" x14ac:dyDescent="0.35">
      <c r="A276" s="5" t="s">
        <v>30</v>
      </c>
      <c r="B276" s="5">
        <v>2020</v>
      </c>
      <c r="C276" s="5" t="s">
        <v>42</v>
      </c>
      <c r="D276" s="11">
        <v>146.9</v>
      </c>
      <c r="E276" s="5">
        <v>183.9</v>
      </c>
      <c r="F276" s="5">
        <v>149.5</v>
      </c>
      <c r="G276" s="5">
        <v>153.4</v>
      </c>
      <c r="H276" s="5">
        <v>140.4</v>
      </c>
      <c r="I276" s="5">
        <v>147</v>
      </c>
      <c r="J276" s="5">
        <v>178.8</v>
      </c>
      <c r="K276" s="5">
        <v>149.30000000000001</v>
      </c>
      <c r="L276" s="5">
        <v>115.1</v>
      </c>
      <c r="M276" s="5">
        <v>160</v>
      </c>
      <c r="N276" s="5">
        <v>145.4</v>
      </c>
      <c r="O276" s="5">
        <v>161.6</v>
      </c>
      <c r="P276" s="5">
        <v>156.1</v>
      </c>
      <c r="Q276" s="5">
        <v>182.9</v>
      </c>
      <c r="R276" s="5">
        <v>155.4</v>
      </c>
      <c r="S276" s="5">
        <v>149.9</v>
      </c>
      <c r="T276" s="5">
        <v>154.6</v>
      </c>
      <c r="U276" s="5" t="s">
        <v>32</v>
      </c>
      <c r="V276" s="5">
        <v>146.4</v>
      </c>
      <c r="W276" s="5">
        <v>151.6</v>
      </c>
      <c r="X276" s="5">
        <v>159.1</v>
      </c>
      <c r="Y276" s="5">
        <v>144.6</v>
      </c>
      <c r="Z276" s="5">
        <v>152.80000000000001</v>
      </c>
      <c r="AA276" s="5">
        <v>161.1</v>
      </c>
      <c r="AB276" s="5">
        <v>157.4</v>
      </c>
      <c r="AC276" s="5">
        <v>153.69999999999999</v>
      </c>
      <c r="AD276" s="5">
        <v>155.4</v>
      </c>
    </row>
    <row r="277" spans="1:30" x14ac:dyDescent="0.35">
      <c r="A277" s="5" t="s">
        <v>33</v>
      </c>
      <c r="B277" s="5">
        <v>2020</v>
      </c>
      <c r="C277" s="5" t="s">
        <v>42</v>
      </c>
      <c r="D277" s="11">
        <v>151.5</v>
      </c>
      <c r="E277" s="5">
        <v>193.1</v>
      </c>
      <c r="F277" s="5">
        <v>157.30000000000001</v>
      </c>
      <c r="G277" s="5">
        <v>153.9</v>
      </c>
      <c r="H277" s="5">
        <v>134.4</v>
      </c>
      <c r="I277" s="5">
        <v>155.4</v>
      </c>
      <c r="J277" s="5">
        <v>202</v>
      </c>
      <c r="K277" s="5">
        <v>150.80000000000001</v>
      </c>
      <c r="L277" s="5">
        <v>118.9</v>
      </c>
      <c r="M277" s="5">
        <v>160.9</v>
      </c>
      <c r="N277" s="5">
        <v>137.69999999999999</v>
      </c>
      <c r="O277" s="5">
        <v>164.4</v>
      </c>
      <c r="P277" s="5">
        <v>161.30000000000001</v>
      </c>
      <c r="Q277" s="5">
        <v>188.7</v>
      </c>
      <c r="R277" s="5">
        <v>150.19999999999999</v>
      </c>
      <c r="S277" s="5">
        <v>136.30000000000001</v>
      </c>
      <c r="T277" s="5">
        <v>148.1</v>
      </c>
      <c r="U277" s="5">
        <v>156.30000000000001</v>
      </c>
      <c r="V277" s="5">
        <v>137.19999999999999</v>
      </c>
      <c r="W277" s="5">
        <v>145.4</v>
      </c>
      <c r="X277" s="5">
        <v>150</v>
      </c>
      <c r="Y277" s="5">
        <v>135.1</v>
      </c>
      <c r="Z277" s="5">
        <v>141.80000000000001</v>
      </c>
      <c r="AA277" s="5">
        <v>154.9</v>
      </c>
      <c r="AB277" s="5">
        <v>159.80000000000001</v>
      </c>
      <c r="AC277" s="5">
        <v>146</v>
      </c>
      <c r="AD277" s="5">
        <v>154</v>
      </c>
    </row>
    <row r="278" spans="1:30" x14ac:dyDescent="0.35">
      <c r="A278" s="5" t="s">
        <v>34</v>
      </c>
      <c r="B278" s="5">
        <v>2020</v>
      </c>
      <c r="C278" s="5" t="s">
        <v>42</v>
      </c>
      <c r="D278" s="11">
        <v>148.4</v>
      </c>
      <c r="E278" s="5">
        <v>187.1</v>
      </c>
      <c r="F278" s="5">
        <v>152.5</v>
      </c>
      <c r="G278" s="5">
        <v>153.6</v>
      </c>
      <c r="H278" s="5">
        <v>138.19999999999999</v>
      </c>
      <c r="I278" s="5">
        <v>150.9</v>
      </c>
      <c r="J278" s="5">
        <v>186.7</v>
      </c>
      <c r="K278" s="5">
        <v>149.80000000000001</v>
      </c>
      <c r="L278" s="5">
        <v>116.4</v>
      </c>
      <c r="M278" s="5">
        <v>160.30000000000001</v>
      </c>
      <c r="N278" s="5">
        <v>142.19999999999999</v>
      </c>
      <c r="O278" s="5">
        <v>162.9</v>
      </c>
      <c r="P278" s="5">
        <v>158</v>
      </c>
      <c r="Q278" s="5">
        <v>184.4</v>
      </c>
      <c r="R278" s="5">
        <v>153.4</v>
      </c>
      <c r="S278" s="5">
        <v>144.30000000000001</v>
      </c>
      <c r="T278" s="5">
        <v>152</v>
      </c>
      <c r="U278" s="5">
        <v>156.30000000000001</v>
      </c>
      <c r="V278" s="5">
        <v>142.9</v>
      </c>
      <c r="W278" s="5">
        <v>148.69999999999999</v>
      </c>
      <c r="X278" s="5">
        <v>155.6</v>
      </c>
      <c r="Y278" s="5">
        <v>139.6</v>
      </c>
      <c r="Z278" s="5">
        <v>146.6</v>
      </c>
      <c r="AA278" s="5">
        <v>157.5</v>
      </c>
      <c r="AB278" s="5">
        <v>158.4</v>
      </c>
      <c r="AC278" s="5">
        <v>150</v>
      </c>
      <c r="AD278" s="5">
        <v>154.69999999999999</v>
      </c>
    </row>
    <row r="279" spans="1:30" x14ac:dyDescent="0.35">
      <c r="A279" s="5" t="s">
        <v>30</v>
      </c>
      <c r="B279" s="5">
        <v>2020</v>
      </c>
      <c r="C279" s="5" t="s">
        <v>43</v>
      </c>
      <c r="D279" s="11">
        <v>146</v>
      </c>
      <c r="E279" s="5">
        <v>186.3</v>
      </c>
      <c r="F279" s="5">
        <v>159.19999999999999</v>
      </c>
      <c r="G279" s="5">
        <v>153.6</v>
      </c>
      <c r="H279" s="5">
        <v>142.6</v>
      </c>
      <c r="I279" s="5">
        <v>147.19999999999999</v>
      </c>
      <c r="J279" s="5">
        <v>200.6</v>
      </c>
      <c r="K279" s="5">
        <v>150.30000000000001</v>
      </c>
      <c r="L279" s="5">
        <v>115.3</v>
      </c>
      <c r="M279" s="5">
        <v>160.9</v>
      </c>
      <c r="N279" s="5">
        <v>147.4</v>
      </c>
      <c r="O279" s="5">
        <v>161.9</v>
      </c>
      <c r="P279" s="5">
        <v>159.6</v>
      </c>
      <c r="Q279" s="5">
        <v>182.7</v>
      </c>
      <c r="R279" s="5">
        <v>155.69999999999999</v>
      </c>
      <c r="S279" s="5">
        <v>150.6</v>
      </c>
      <c r="T279" s="5">
        <v>155</v>
      </c>
      <c r="U279" s="5" t="s">
        <v>32</v>
      </c>
      <c r="V279" s="5">
        <v>146.80000000000001</v>
      </c>
      <c r="W279" s="5">
        <v>152</v>
      </c>
      <c r="X279" s="5">
        <v>159.5</v>
      </c>
      <c r="Y279" s="5">
        <v>146.4</v>
      </c>
      <c r="Z279" s="5">
        <v>152.4</v>
      </c>
      <c r="AA279" s="5">
        <v>162.5</v>
      </c>
      <c r="AB279" s="5">
        <v>156.19999999999999</v>
      </c>
      <c r="AC279" s="5">
        <v>154.30000000000001</v>
      </c>
      <c r="AD279" s="5">
        <v>157.5</v>
      </c>
    </row>
    <row r="280" spans="1:30" x14ac:dyDescent="0.35">
      <c r="A280" s="5" t="s">
        <v>33</v>
      </c>
      <c r="B280" s="5">
        <v>2020</v>
      </c>
      <c r="C280" s="5" t="s">
        <v>43</v>
      </c>
      <c r="D280" s="11">
        <v>150.6</v>
      </c>
      <c r="E280" s="5">
        <v>193.7</v>
      </c>
      <c r="F280" s="5">
        <v>164.8</v>
      </c>
      <c r="G280" s="5">
        <v>153.69999999999999</v>
      </c>
      <c r="H280" s="5">
        <v>135.69999999999999</v>
      </c>
      <c r="I280" s="5">
        <v>155.69999999999999</v>
      </c>
      <c r="J280" s="5">
        <v>226</v>
      </c>
      <c r="K280" s="5">
        <v>152.19999999999999</v>
      </c>
      <c r="L280" s="5">
        <v>118.1</v>
      </c>
      <c r="M280" s="5">
        <v>161.30000000000001</v>
      </c>
      <c r="N280" s="5">
        <v>139.19999999999999</v>
      </c>
      <c r="O280" s="5">
        <v>164.8</v>
      </c>
      <c r="P280" s="5">
        <v>164.4</v>
      </c>
      <c r="Q280" s="5">
        <v>188.7</v>
      </c>
      <c r="R280" s="5">
        <v>150.5</v>
      </c>
      <c r="S280" s="5">
        <v>136.1</v>
      </c>
      <c r="T280" s="5">
        <v>148.30000000000001</v>
      </c>
      <c r="U280" s="5">
        <v>156.5</v>
      </c>
      <c r="V280" s="5">
        <v>137.1</v>
      </c>
      <c r="W280" s="5">
        <v>145.1</v>
      </c>
      <c r="X280" s="5">
        <v>151</v>
      </c>
      <c r="Y280" s="5">
        <v>135.4</v>
      </c>
      <c r="Z280" s="5">
        <v>142</v>
      </c>
      <c r="AA280" s="5">
        <v>155.69999999999999</v>
      </c>
      <c r="AB280" s="5">
        <v>158.1</v>
      </c>
      <c r="AC280" s="5">
        <v>146.19999999999999</v>
      </c>
      <c r="AD280" s="5">
        <v>155.19999999999999</v>
      </c>
    </row>
    <row r="281" spans="1:30" x14ac:dyDescent="0.35">
      <c r="A281" s="5" t="s">
        <v>34</v>
      </c>
      <c r="B281" s="5">
        <v>2020</v>
      </c>
      <c r="C281" s="5" t="s">
        <v>43</v>
      </c>
      <c r="D281" s="11">
        <v>147.5</v>
      </c>
      <c r="E281" s="5">
        <v>188.9</v>
      </c>
      <c r="F281" s="5">
        <v>161.4</v>
      </c>
      <c r="G281" s="5">
        <v>153.6</v>
      </c>
      <c r="H281" s="5">
        <v>140.1</v>
      </c>
      <c r="I281" s="5">
        <v>151.19999999999999</v>
      </c>
      <c r="J281" s="5">
        <v>209.2</v>
      </c>
      <c r="K281" s="5">
        <v>150.9</v>
      </c>
      <c r="L281" s="5">
        <v>116.2</v>
      </c>
      <c r="M281" s="5">
        <v>161</v>
      </c>
      <c r="N281" s="5">
        <v>144</v>
      </c>
      <c r="O281" s="5">
        <v>163.19999999999999</v>
      </c>
      <c r="P281" s="5">
        <v>161.4</v>
      </c>
      <c r="Q281" s="5">
        <v>184.3</v>
      </c>
      <c r="R281" s="5">
        <v>153.69999999999999</v>
      </c>
      <c r="S281" s="5">
        <v>144.6</v>
      </c>
      <c r="T281" s="5">
        <v>152.30000000000001</v>
      </c>
      <c r="U281" s="5">
        <v>156.5</v>
      </c>
      <c r="V281" s="5">
        <v>143.1</v>
      </c>
      <c r="W281" s="5">
        <v>148.69999999999999</v>
      </c>
      <c r="X281" s="5">
        <v>156.30000000000001</v>
      </c>
      <c r="Y281" s="5">
        <v>140.6</v>
      </c>
      <c r="Z281" s="5">
        <v>146.5</v>
      </c>
      <c r="AA281" s="5">
        <v>158.5</v>
      </c>
      <c r="AB281" s="5">
        <v>157</v>
      </c>
      <c r="AC281" s="5">
        <v>150.4</v>
      </c>
      <c r="AD281" s="5">
        <v>156.4</v>
      </c>
    </row>
    <row r="282" spans="1:30" x14ac:dyDescent="0.35">
      <c r="A282" s="5" t="s">
        <v>30</v>
      </c>
      <c r="B282" s="5">
        <v>2020</v>
      </c>
      <c r="C282" s="5" t="s">
        <v>45</v>
      </c>
      <c r="D282" s="11">
        <v>145.4</v>
      </c>
      <c r="E282" s="5">
        <v>188.6</v>
      </c>
      <c r="F282" s="5">
        <v>171.6</v>
      </c>
      <c r="G282" s="5">
        <v>153.80000000000001</v>
      </c>
      <c r="H282" s="5">
        <v>145.4</v>
      </c>
      <c r="I282" s="5">
        <v>146.5</v>
      </c>
      <c r="J282" s="5">
        <v>222.2</v>
      </c>
      <c r="K282" s="5">
        <v>155.9</v>
      </c>
      <c r="L282" s="5">
        <v>114.9</v>
      </c>
      <c r="M282" s="5">
        <v>162</v>
      </c>
      <c r="N282" s="5">
        <v>150</v>
      </c>
      <c r="O282" s="5">
        <v>162.69999999999999</v>
      </c>
      <c r="P282" s="5">
        <v>163.4</v>
      </c>
      <c r="Q282" s="5">
        <v>183.4</v>
      </c>
      <c r="R282" s="5">
        <v>156.30000000000001</v>
      </c>
      <c r="S282" s="5">
        <v>151</v>
      </c>
      <c r="T282" s="5">
        <v>155.5</v>
      </c>
      <c r="U282" s="5" t="s">
        <v>32</v>
      </c>
      <c r="V282" s="5">
        <v>147.5</v>
      </c>
      <c r="W282" s="5">
        <v>152.80000000000001</v>
      </c>
      <c r="X282" s="5">
        <v>160.4</v>
      </c>
      <c r="Y282" s="5">
        <v>146.1</v>
      </c>
      <c r="Z282" s="5">
        <v>153.6</v>
      </c>
      <c r="AA282" s="5">
        <v>161.6</v>
      </c>
      <c r="AB282" s="5">
        <v>156.19999999999999</v>
      </c>
      <c r="AC282" s="5">
        <v>154.5</v>
      </c>
      <c r="AD282" s="5">
        <v>159.80000000000001</v>
      </c>
    </row>
    <row r="283" spans="1:30" x14ac:dyDescent="0.35">
      <c r="A283" s="5" t="s">
        <v>33</v>
      </c>
      <c r="B283" s="5">
        <v>2020</v>
      </c>
      <c r="C283" s="5" t="s">
        <v>45</v>
      </c>
      <c r="D283" s="11">
        <v>149.69999999999999</v>
      </c>
      <c r="E283" s="5">
        <v>195.5</v>
      </c>
      <c r="F283" s="5">
        <v>176.9</v>
      </c>
      <c r="G283" s="5">
        <v>153.9</v>
      </c>
      <c r="H283" s="5">
        <v>138</v>
      </c>
      <c r="I283" s="5">
        <v>150.5</v>
      </c>
      <c r="J283" s="5">
        <v>245.3</v>
      </c>
      <c r="K283" s="5">
        <v>158.69999999999999</v>
      </c>
      <c r="L283" s="5">
        <v>117.2</v>
      </c>
      <c r="M283" s="5">
        <v>161.4</v>
      </c>
      <c r="N283" s="5">
        <v>141.5</v>
      </c>
      <c r="O283" s="5">
        <v>165.1</v>
      </c>
      <c r="P283" s="5">
        <v>167</v>
      </c>
      <c r="Q283" s="5">
        <v>188.8</v>
      </c>
      <c r="R283" s="5">
        <v>151.1</v>
      </c>
      <c r="S283" s="5">
        <v>136.4</v>
      </c>
      <c r="T283" s="5">
        <v>148.80000000000001</v>
      </c>
      <c r="U283" s="5">
        <v>158</v>
      </c>
      <c r="V283" s="5">
        <v>137.30000000000001</v>
      </c>
      <c r="W283" s="5">
        <v>145.1</v>
      </c>
      <c r="X283" s="5">
        <v>152</v>
      </c>
      <c r="Y283" s="5">
        <v>135.19999999999999</v>
      </c>
      <c r="Z283" s="5">
        <v>144.4</v>
      </c>
      <c r="AA283" s="5">
        <v>156.4</v>
      </c>
      <c r="AB283" s="5">
        <v>157.9</v>
      </c>
      <c r="AC283" s="5">
        <v>146.6</v>
      </c>
      <c r="AD283" s="5">
        <v>156.69999999999999</v>
      </c>
    </row>
    <row r="284" spans="1:30" x14ac:dyDescent="0.35">
      <c r="A284" s="5" t="s">
        <v>34</v>
      </c>
      <c r="B284" s="5">
        <v>2020</v>
      </c>
      <c r="C284" s="5" t="s">
        <v>45</v>
      </c>
      <c r="D284" s="11">
        <v>146.80000000000001</v>
      </c>
      <c r="E284" s="5">
        <v>191</v>
      </c>
      <c r="F284" s="5">
        <v>173.6</v>
      </c>
      <c r="G284" s="5">
        <v>153.80000000000001</v>
      </c>
      <c r="H284" s="5">
        <v>142.69999999999999</v>
      </c>
      <c r="I284" s="5">
        <v>148.4</v>
      </c>
      <c r="J284" s="5">
        <v>230</v>
      </c>
      <c r="K284" s="5">
        <v>156.80000000000001</v>
      </c>
      <c r="L284" s="5">
        <v>115.7</v>
      </c>
      <c r="M284" s="5">
        <v>161.80000000000001</v>
      </c>
      <c r="N284" s="5">
        <v>146.5</v>
      </c>
      <c r="O284" s="5">
        <v>163.80000000000001</v>
      </c>
      <c r="P284" s="5">
        <v>164.7</v>
      </c>
      <c r="Q284" s="5">
        <v>184.8</v>
      </c>
      <c r="R284" s="5">
        <v>154.30000000000001</v>
      </c>
      <c r="S284" s="5">
        <v>144.9</v>
      </c>
      <c r="T284" s="5">
        <v>152.80000000000001</v>
      </c>
      <c r="U284" s="5">
        <v>158</v>
      </c>
      <c r="V284" s="5">
        <v>143.6</v>
      </c>
      <c r="W284" s="5">
        <v>149.19999999999999</v>
      </c>
      <c r="X284" s="5">
        <v>157.19999999999999</v>
      </c>
      <c r="Y284" s="5">
        <v>140.4</v>
      </c>
      <c r="Z284" s="5">
        <v>148.4</v>
      </c>
      <c r="AA284" s="5">
        <v>158.6</v>
      </c>
      <c r="AB284" s="5">
        <v>156.9</v>
      </c>
      <c r="AC284" s="5">
        <v>150.69999999999999</v>
      </c>
      <c r="AD284" s="5">
        <v>158.4</v>
      </c>
    </row>
    <row r="285" spans="1:30" x14ac:dyDescent="0.35">
      <c r="A285" s="5" t="s">
        <v>30</v>
      </c>
      <c r="B285" s="5">
        <v>2020</v>
      </c>
      <c r="C285" s="5" t="s">
        <v>46</v>
      </c>
      <c r="D285" s="11">
        <v>144.6</v>
      </c>
      <c r="E285" s="5">
        <v>188.5</v>
      </c>
      <c r="F285" s="5">
        <v>173.4</v>
      </c>
      <c r="G285" s="5">
        <v>154</v>
      </c>
      <c r="H285" s="5">
        <v>150</v>
      </c>
      <c r="I285" s="5">
        <v>145.9</v>
      </c>
      <c r="J285" s="5">
        <v>225.2</v>
      </c>
      <c r="K285" s="5">
        <v>159.5</v>
      </c>
      <c r="L285" s="5">
        <v>114.4</v>
      </c>
      <c r="M285" s="5">
        <v>163.5</v>
      </c>
      <c r="N285" s="5">
        <v>153.4</v>
      </c>
      <c r="O285" s="5">
        <v>163.6</v>
      </c>
      <c r="P285" s="5">
        <v>164.5</v>
      </c>
      <c r="Q285" s="5">
        <v>183.6</v>
      </c>
      <c r="R285" s="5">
        <v>157</v>
      </c>
      <c r="S285" s="5">
        <v>151.6</v>
      </c>
      <c r="T285" s="5">
        <v>156.30000000000001</v>
      </c>
      <c r="U285" s="5" t="s">
        <v>32</v>
      </c>
      <c r="V285" s="5">
        <v>148.69999999999999</v>
      </c>
      <c r="W285" s="5">
        <v>153.4</v>
      </c>
      <c r="X285" s="5">
        <v>161.6</v>
      </c>
      <c r="Y285" s="5">
        <v>146.4</v>
      </c>
      <c r="Z285" s="5">
        <v>153.9</v>
      </c>
      <c r="AA285" s="5">
        <v>162.9</v>
      </c>
      <c r="AB285" s="5">
        <v>156.6</v>
      </c>
      <c r="AC285" s="5">
        <v>155.19999999999999</v>
      </c>
      <c r="AD285" s="5">
        <v>160.69999999999999</v>
      </c>
    </row>
    <row r="286" spans="1:30" x14ac:dyDescent="0.35">
      <c r="A286" s="5" t="s">
        <v>33</v>
      </c>
      <c r="B286" s="5">
        <v>2020</v>
      </c>
      <c r="C286" s="5" t="s">
        <v>46</v>
      </c>
      <c r="D286" s="11">
        <v>149</v>
      </c>
      <c r="E286" s="5">
        <v>195.7</v>
      </c>
      <c r="F286" s="5">
        <v>178.3</v>
      </c>
      <c r="G286" s="5">
        <v>154.19999999999999</v>
      </c>
      <c r="H286" s="5">
        <v>140.69999999999999</v>
      </c>
      <c r="I286" s="5">
        <v>149.69999999999999</v>
      </c>
      <c r="J286" s="5">
        <v>240.9</v>
      </c>
      <c r="K286" s="5">
        <v>161.5</v>
      </c>
      <c r="L286" s="5">
        <v>117.1</v>
      </c>
      <c r="M286" s="5">
        <v>161.9</v>
      </c>
      <c r="N286" s="5">
        <v>143.30000000000001</v>
      </c>
      <c r="O286" s="5">
        <v>166.1</v>
      </c>
      <c r="P286" s="5">
        <v>167</v>
      </c>
      <c r="Q286" s="5">
        <v>190.2</v>
      </c>
      <c r="R286" s="5">
        <v>151.9</v>
      </c>
      <c r="S286" s="5">
        <v>136.69999999999999</v>
      </c>
      <c r="T286" s="5">
        <v>149.6</v>
      </c>
      <c r="U286" s="5">
        <v>158.4</v>
      </c>
      <c r="V286" s="5">
        <v>137.9</v>
      </c>
      <c r="W286" s="5">
        <v>145.5</v>
      </c>
      <c r="X286" s="5">
        <v>152.9</v>
      </c>
      <c r="Y286" s="5">
        <v>135.5</v>
      </c>
      <c r="Z286" s="5">
        <v>144.30000000000001</v>
      </c>
      <c r="AA286" s="5">
        <v>156.9</v>
      </c>
      <c r="AB286" s="5">
        <v>157.9</v>
      </c>
      <c r="AC286" s="5">
        <v>146.9</v>
      </c>
      <c r="AD286" s="5">
        <v>156.9</v>
      </c>
    </row>
    <row r="287" spans="1:30" x14ac:dyDescent="0.35">
      <c r="A287" s="5" t="s">
        <v>34</v>
      </c>
      <c r="B287" s="5">
        <v>2020</v>
      </c>
      <c r="C287" s="5" t="s">
        <v>46</v>
      </c>
      <c r="D287" s="11">
        <v>146</v>
      </c>
      <c r="E287" s="5">
        <v>191</v>
      </c>
      <c r="F287" s="5">
        <v>175.3</v>
      </c>
      <c r="G287" s="5">
        <v>154.1</v>
      </c>
      <c r="H287" s="5">
        <v>146.6</v>
      </c>
      <c r="I287" s="5">
        <v>147.69999999999999</v>
      </c>
      <c r="J287" s="5">
        <v>230.5</v>
      </c>
      <c r="K287" s="5">
        <v>160.19999999999999</v>
      </c>
      <c r="L287" s="5">
        <v>115.3</v>
      </c>
      <c r="M287" s="5">
        <v>163</v>
      </c>
      <c r="N287" s="5">
        <v>149.19999999999999</v>
      </c>
      <c r="O287" s="5">
        <v>164.8</v>
      </c>
      <c r="P287" s="5">
        <v>165.4</v>
      </c>
      <c r="Q287" s="5">
        <v>185.4</v>
      </c>
      <c r="R287" s="5">
        <v>155</v>
      </c>
      <c r="S287" s="5">
        <v>145.4</v>
      </c>
      <c r="T287" s="5">
        <v>153.6</v>
      </c>
      <c r="U287" s="5">
        <v>158.4</v>
      </c>
      <c r="V287" s="5">
        <v>144.6</v>
      </c>
      <c r="W287" s="5">
        <v>149.69999999999999</v>
      </c>
      <c r="X287" s="5">
        <v>158.30000000000001</v>
      </c>
      <c r="Y287" s="5">
        <v>140.69999999999999</v>
      </c>
      <c r="Z287" s="5">
        <v>148.5</v>
      </c>
      <c r="AA287" s="5">
        <v>159.4</v>
      </c>
      <c r="AB287" s="5">
        <v>157.1</v>
      </c>
      <c r="AC287" s="5">
        <v>151.19999999999999</v>
      </c>
      <c r="AD287" s="5">
        <v>158.9</v>
      </c>
    </row>
    <row r="288" spans="1:30" x14ac:dyDescent="0.35">
      <c r="A288" s="5" t="s">
        <v>30</v>
      </c>
      <c r="B288" s="5">
        <v>2021</v>
      </c>
      <c r="C288" s="5" t="s">
        <v>31</v>
      </c>
      <c r="D288" s="11">
        <v>143.4</v>
      </c>
      <c r="E288" s="5">
        <v>187.5</v>
      </c>
      <c r="F288" s="5">
        <v>173.4</v>
      </c>
      <c r="G288" s="5">
        <v>154</v>
      </c>
      <c r="H288" s="5">
        <v>154.80000000000001</v>
      </c>
      <c r="I288" s="5">
        <v>147</v>
      </c>
      <c r="J288" s="5">
        <v>187.8</v>
      </c>
      <c r="K288" s="5">
        <v>159.5</v>
      </c>
      <c r="L288" s="5">
        <v>113.8</v>
      </c>
      <c r="M288" s="5">
        <v>164.5</v>
      </c>
      <c r="N288" s="5">
        <v>156.1</v>
      </c>
      <c r="O288" s="5">
        <v>164.3</v>
      </c>
      <c r="P288" s="5">
        <v>159.6</v>
      </c>
      <c r="Q288" s="5">
        <v>184.6</v>
      </c>
      <c r="R288" s="5">
        <v>157.5</v>
      </c>
      <c r="S288" s="5">
        <v>152.4</v>
      </c>
      <c r="T288" s="5">
        <v>156.80000000000001</v>
      </c>
      <c r="U288" s="5" t="s">
        <v>32</v>
      </c>
      <c r="V288" s="5">
        <v>150.9</v>
      </c>
      <c r="W288" s="5">
        <v>153.9</v>
      </c>
      <c r="X288" s="5">
        <v>162.5</v>
      </c>
      <c r="Y288" s="5">
        <v>147.5</v>
      </c>
      <c r="Z288" s="5">
        <v>155.1</v>
      </c>
      <c r="AA288" s="5">
        <v>163.5</v>
      </c>
      <c r="AB288" s="5">
        <v>156.19999999999999</v>
      </c>
      <c r="AC288" s="5">
        <v>155.9</v>
      </c>
      <c r="AD288" s="5">
        <v>158.5</v>
      </c>
    </row>
    <row r="289" spans="1:30" x14ac:dyDescent="0.35">
      <c r="A289" s="5" t="s">
        <v>33</v>
      </c>
      <c r="B289" s="5">
        <v>2021</v>
      </c>
      <c r="C289" s="5" t="s">
        <v>31</v>
      </c>
      <c r="D289" s="11">
        <v>148</v>
      </c>
      <c r="E289" s="5">
        <v>194.8</v>
      </c>
      <c r="F289" s="5">
        <v>178.4</v>
      </c>
      <c r="G289" s="5">
        <v>154.4</v>
      </c>
      <c r="H289" s="5">
        <v>144.1</v>
      </c>
      <c r="I289" s="5">
        <v>152.6</v>
      </c>
      <c r="J289" s="5">
        <v>206.8</v>
      </c>
      <c r="K289" s="5">
        <v>162.1</v>
      </c>
      <c r="L289" s="5">
        <v>116.3</v>
      </c>
      <c r="M289" s="5">
        <v>163</v>
      </c>
      <c r="N289" s="5">
        <v>145.9</v>
      </c>
      <c r="O289" s="5">
        <v>167.2</v>
      </c>
      <c r="P289" s="5">
        <v>163.4</v>
      </c>
      <c r="Q289" s="5">
        <v>191.8</v>
      </c>
      <c r="R289" s="5">
        <v>152.5</v>
      </c>
      <c r="S289" s="5">
        <v>137.30000000000001</v>
      </c>
      <c r="T289" s="5">
        <v>150.19999999999999</v>
      </c>
      <c r="U289" s="5">
        <v>157.69999999999999</v>
      </c>
      <c r="V289" s="5">
        <v>142.9</v>
      </c>
      <c r="W289" s="5">
        <v>145.69999999999999</v>
      </c>
      <c r="X289" s="5">
        <v>154.1</v>
      </c>
      <c r="Y289" s="5">
        <v>136.9</v>
      </c>
      <c r="Z289" s="5">
        <v>145.4</v>
      </c>
      <c r="AA289" s="5">
        <v>156.1</v>
      </c>
      <c r="AB289" s="5">
        <v>157.69999999999999</v>
      </c>
      <c r="AC289" s="5">
        <v>147.6</v>
      </c>
      <c r="AD289" s="5">
        <v>156</v>
      </c>
    </row>
    <row r="290" spans="1:30" x14ac:dyDescent="0.35">
      <c r="A290" s="5" t="s">
        <v>34</v>
      </c>
      <c r="B290" s="5">
        <v>2021</v>
      </c>
      <c r="C290" s="5" t="s">
        <v>31</v>
      </c>
      <c r="D290" s="11">
        <v>144.9</v>
      </c>
      <c r="E290" s="5">
        <v>190.1</v>
      </c>
      <c r="F290" s="5">
        <v>175.3</v>
      </c>
      <c r="G290" s="5">
        <v>154.1</v>
      </c>
      <c r="H290" s="5">
        <v>150.9</v>
      </c>
      <c r="I290" s="5">
        <v>149.6</v>
      </c>
      <c r="J290" s="5">
        <v>194.2</v>
      </c>
      <c r="K290" s="5">
        <v>160.4</v>
      </c>
      <c r="L290" s="5">
        <v>114.6</v>
      </c>
      <c r="M290" s="5">
        <v>164</v>
      </c>
      <c r="N290" s="5">
        <v>151.80000000000001</v>
      </c>
      <c r="O290" s="5">
        <v>165.6</v>
      </c>
      <c r="P290" s="5">
        <v>161</v>
      </c>
      <c r="Q290" s="5">
        <v>186.5</v>
      </c>
      <c r="R290" s="5">
        <v>155.5</v>
      </c>
      <c r="S290" s="5">
        <v>146.1</v>
      </c>
      <c r="T290" s="5">
        <v>154.19999999999999</v>
      </c>
      <c r="U290" s="5">
        <v>157.69999999999999</v>
      </c>
      <c r="V290" s="5">
        <v>147.9</v>
      </c>
      <c r="W290" s="5">
        <v>150</v>
      </c>
      <c r="X290" s="5">
        <v>159.30000000000001</v>
      </c>
      <c r="Y290" s="5">
        <v>141.9</v>
      </c>
      <c r="Z290" s="5">
        <v>149.6</v>
      </c>
      <c r="AA290" s="5">
        <v>159.19999999999999</v>
      </c>
      <c r="AB290" s="5">
        <v>156.80000000000001</v>
      </c>
      <c r="AC290" s="5">
        <v>151.9</v>
      </c>
      <c r="AD290" s="5">
        <v>157.30000000000001</v>
      </c>
    </row>
    <row r="291" spans="1:30" x14ac:dyDescent="0.35">
      <c r="A291" s="5" t="s">
        <v>30</v>
      </c>
      <c r="B291" s="5">
        <v>2021</v>
      </c>
      <c r="C291" s="5" t="s">
        <v>35</v>
      </c>
      <c r="D291" s="11">
        <v>142.80000000000001</v>
      </c>
      <c r="E291" s="5">
        <v>184</v>
      </c>
      <c r="F291" s="5">
        <v>168</v>
      </c>
      <c r="G291" s="5">
        <v>154.4</v>
      </c>
      <c r="H291" s="5">
        <v>163</v>
      </c>
      <c r="I291" s="5">
        <v>147.80000000000001</v>
      </c>
      <c r="J291" s="5">
        <v>149.69999999999999</v>
      </c>
      <c r="K291" s="5">
        <v>158.30000000000001</v>
      </c>
      <c r="L291" s="5">
        <v>111.8</v>
      </c>
      <c r="M291" s="5">
        <v>165</v>
      </c>
      <c r="N291" s="5">
        <v>160</v>
      </c>
      <c r="O291" s="5">
        <v>165.8</v>
      </c>
      <c r="P291" s="5">
        <v>154.69999999999999</v>
      </c>
      <c r="Q291" s="5">
        <v>186.5</v>
      </c>
      <c r="R291" s="5">
        <v>159.1</v>
      </c>
      <c r="S291" s="5">
        <v>153.9</v>
      </c>
      <c r="T291" s="5">
        <v>158.4</v>
      </c>
      <c r="U291" s="5" t="s">
        <v>32</v>
      </c>
      <c r="V291" s="5">
        <v>154.4</v>
      </c>
      <c r="W291" s="5">
        <v>154.80000000000001</v>
      </c>
      <c r="X291" s="5">
        <v>164.3</v>
      </c>
      <c r="Y291" s="5">
        <v>150.19999999999999</v>
      </c>
      <c r="Z291" s="5">
        <v>157</v>
      </c>
      <c r="AA291" s="5">
        <v>163.6</v>
      </c>
      <c r="AB291" s="5">
        <v>155.19999999999999</v>
      </c>
      <c r="AC291" s="5">
        <v>157.19999999999999</v>
      </c>
      <c r="AD291" s="5">
        <v>156.69999999999999</v>
      </c>
    </row>
    <row r="292" spans="1:30" x14ac:dyDescent="0.35">
      <c r="A292" s="5" t="s">
        <v>33</v>
      </c>
      <c r="B292" s="5">
        <v>2021</v>
      </c>
      <c r="C292" s="5" t="s">
        <v>35</v>
      </c>
      <c r="D292" s="11">
        <v>147.6</v>
      </c>
      <c r="E292" s="5">
        <v>191.2</v>
      </c>
      <c r="F292" s="5">
        <v>169.9</v>
      </c>
      <c r="G292" s="5">
        <v>155.1</v>
      </c>
      <c r="H292" s="5">
        <v>151.4</v>
      </c>
      <c r="I292" s="5">
        <v>154</v>
      </c>
      <c r="J292" s="5">
        <v>180.2</v>
      </c>
      <c r="K292" s="5">
        <v>159.80000000000001</v>
      </c>
      <c r="L292" s="5">
        <v>114.9</v>
      </c>
      <c r="M292" s="5">
        <v>162.5</v>
      </c>
      <c r="N292" s="5">
        <v>149.19999999999999</v>
      </c>
      <c r="O292" s="5">
        <v>169.4</v>
      </c>
      <c r="P292" s="5">
        <v>160.80000000000001</v>
      </c>
      <c r="Q292" s="5">
        <v>193.3</v>
      </c>
      <c r="R292" s="5">
        <v>154.19999999999999</v>
      </c>
      <c r="S292" s="5">
        <v>138.19999999999999</v>
      </c>
      <c r="T292" s="5">
        <v>151.80000000000001</v>
      </c>
      <c r="U292" s="5">
        <v>159.80000000000001</v>
      </c>
      <c r="V292" s="5">
        <v>149.1</v>
      </c>
      <c r="W292" s="5">
        <v>146.5</v>
      </c>
      <c r="X292" s="5">
        <v>156.30000000000001</v>
      </c>
      <c r="Y292" s="5">
        <v>140.5</v>
      </c>
      <c r="Z292" s="5">
        <v>147.30000000000001</v>
      </c>
      <c r="AA292" s="5">
        <v>156.6</v>
      </c>
      <c r="AB292" s="5">
        <v>156.69999999999999</v>
      </c>
      <c r="AC292" s="5">
        <v>149.30000000000001</v>
      </c>
      <c r="AD292" s="5">
        <v>156.5</v>
      </c>
    </row>
    <row r="293" spans="1:30" x14ac:dyDescent="0.35">
      <c r="A293" s="5" t="s">
        <v>34</v>
      </c>
      <c r="B293" s="5">
        <v>2021</v>
      </c>
      <c r="C293" s="5" t="s">
        <v>35</v>
      </c>
      <c r="D293" s="11">
        <v>144.30000000000001</v>
      </c>
      <c r="E293" s="5">
        <v>186.5</v>
      </c>
      <c r="F293" s="5">
        <v>168.7</v>
      </c>
      <c r="G293" s="5">
        <v>154.69999999999999</v>
      </c>
      <c r="H293" s="5">
        <v>158.69999999999999</v>
      </c>
      <c r="I293" s="5">
        <v>150.69999999999999</v>
      </c>
      <c r="J293" s="5">
        <v>160</v>
      </c>
      <c r="K293" s="5">
        <v>158.80000000000001</v>
      </c>
      <c r="L293" s="5">
        <v>112.8</v>
      </c>
      <c r="M293" s="5">
        <v>164.2</v>
      </c>
      <c r="N293" s="5">
        <v>155.5</v>
      </c>
      <c r="O293" s="5">
        <v>167.5</v>
      </c>
      <c r="P293" s="5">
        <v>156.9</v>
      </c>
      <c r="Q293" s="5">
        <v>188.3</v>
      </c>
      <c r="R293" s="5">
        <v>157.19999999999999</v>
      </c>
      <c r="S293" s="5">
        <v>147.4</v>
      </c>
      <c r="T293" s="5">
        <v>155.80000000000001</v>
      </c>
      <c r="U293" s="5">
        <v>159.80000000000001</v>
      </c>
      <c r="V293" s="5">
        <v>152.4</v>
      </c>
      <c r="W293" s="5">
        <v>150.9</v>
      </c>
      <c r="X293" s="5">
        <v>161.30000000000001</v>
      </c>
      <c r="Y293" s="5">
        <v>145.1</v>
      </c>
      <c r="Z293" s="5">
        <v>151.5</v>
      </c>
      <c r="AA293" s="5">
        <v>159.5</v>
      </c>
      <c r="AB293" s="5">
        <v>155.80000000000001</v>
      </c>
      <c r="AC293" s="5">
        <v>153.4</v>
      </c>
      <c r="AD293" s="5">
        <v>156.6</v>
      </c>
    </row>
    <row r="294" spans="1:30" x14ac:dyDescent="0.35">
      <c r="A294" s="5" t="s">
        <v>30</v>
      </c>
      <c r="B294" s="5">
        <v>2021</v>
      </c>
      <c r="C294" s="5" t="s">
        <v>36</v>
      </c>
      <c r="D294" s="11">
        <v>142.5</v>
      </c>
      <c r="E294" s="5">
        <v>189.4</v>
      </c>
      <c r="F294" s="5">
        <v>163.19999999999999</v>
      </c>
      <c r="G294" s="5">
        <v>154.5</v>
      </c>
      <c r="H294" s="5">
        <v>168.2</v>
      </c>
      <c r="I294" s="5">
        <v>150.5</v>
      </c>
      <c r="J294" s="5">
        <v>141</v>
      </c>
      <c r="K294" s="5">
        <v>159.19999999999999</v>
      </c>
      <c r="L294" s="5">
        <v>111.7</v>
      </c>
      <c r="M294" s="5">
        <v>164</v>
      </c>
      <c r="N294" s="5">
        <v>160.6</v>
      </c>
      <c r="O294" s="5">
        <v>166.4</v>
      </c>
      <c r="P294" s="5">
        <v>154.5</v>
      </c>
      <c r="Q294" s="5">
        <v>186.1</v>
      </c>
      <c r="R294" s="5">
        <v>159.6</v>
      </c>
      <c r="S294" s="5">
        <v>154.4</v>
      </c>
      <c r="T294" s="5">
        <v>158.9</v>
      </c>
      <c r="U294" s="5" t="s">
        <v>32</v>
      </c>
      <c r="V294" s="5">
        <v>156</v>
      </c>
      <c r="W294" s="5">
        <v>154.80000000000001</v>
      </c>
      <c r="X294" s="5">
        <v>164.6</v>
      </c>
      <c r="Y294" s="5">
        <v>151.30000000000001</v>
      </c>
      <c r="Z294" s="5">
        <v>157.80000000000001</v>
      </c>
      <c r="AA294" s="5">
        <v>163.80000000000001</v>
      </c>
      <c r="AB294" s="5">
        <v>153.1</v>
      </c>
      <c r="AC294" s="5">
        <v>157.30000000000001</v>
      </c>
      <c r="AD294" s="5">
        <v>156.69999999999999</v>
      </c>
    </row>
    <row r="295" spans="1:30" x14ac:dyDescent="0.35">
      <c r="A295" s="5" t="s">
        <v>33</v>
      </c>
      <c r="B295" s="5">
        <v>2021</v>
      </c>
      <c r="C295" s="5" t="s">
        <v>36</v>
      </c>
      <c r="D295" s="11">
        <v>147.5</v>
      </c>
      <c r="E295" s="5">
        <v>197.5</v>
      </c>
      <c r="F295" s="5">
        <v>164.7</v>
      </c>
      <c r="G295" s="5">
        <v>155.6</v>
      </c>
      <c r="H295" s="5">
        <v>156.4</v>
      </c>
      <c r="I295" s="5">
        <v>157.30000000000001</v>
      </c>
      <c r="J295" s="5">
        <v>166.1</v>
      </c>
      <c r="K295" s="5">
        <v>161.1</v>
      </c>
      <c r="L295" s="5">
        <v>114.3</v>
      </c>
      <c r="M295" s="5">
        <v>162.6</v>
      </c>
      <c r="N295" s="5">
        <v>150.69999999999999</v>
      </c>
      <c r="O295" s="5">
        <v>170.3</v>
      </c>
      <c r="P295" s="5">
        <v>160.4</v>
      </c>
      <c r="Q295" s="5">
        <v>193.5</v>
      </c>
      <c r="R295" s="5">
        <v>155.1</v>
      </c>
      <c r="S295" s="5">
        <v>138.69999999999999</v>
      </c>
      <c r="T295" s="5">
        <v>152.6</v>
      </c>
      <c r="U295" s="5">
        <v>159.9</v>
      </c>
      <c r="V295" s="5">
        <v>154.80000000000001</v>
      </c>
      <c r="W295" s="5">
        <v>147.19999999999999</v>
      </c>
      <c r="X295" s="5">
        <v>156.9</v>
      </c>
      <c r="Y295" s="5">
        <v>141.69999999999999</v>
      </c>
      <c r="Z295" s="5">
        <v>148.6</v>
      </c>
      <c r="AA295" s="5">
        <v>157.6</v>
      </c>
      <c r="AB295" s="5">
        <v>154.9</v>
      </c>
      <c r="AC295" s="5">
        <v>150</v>
      </c>
      <c r="AD295" s="5">
        <v>156.9</v>
      </c>
    </row>
    <row r="296" spans="1:30" x14ac:dyDescent="0.35">
      <c r="A296" s="5" t="s">
        <v>34</v>
      </c>
      <c r="B296" s="5">
        <v>2021</v>
      </c>
      <c r="C296" s="5" t="s">
        <v>36</v>
      </c>
      <c r="D296" s="11">
        <v>144.1</v>
      </c>
      <c r="E296" s="5">
        <v>192.2</v>
      </c>
      <c r="F296" s="5">
        <v>163.80000000000001</v>
      </c>
      <c r="G296" s="5">
        <v>154.9</v>
      </c>
      <c r="H296" s="5">
        <v>163.9</v>
      </c>
      <c r="I296" s="5">
        <v>153.69999999999999</v>
      </c>
      <c r="J296" s="5">
        <v>149.5</v>
      </c>
      <c r="K296" s="5">
        <v>159.80000000000001</v>
      </c>
      <c r="L296" s="5">
        <v>112.6</v>
      </c>
      <c r="M296" s="5">
        <v>163.5</v>
      </c>
      <c r="N296" s="5">
        <v>156.5</v>
      </c>
      <c r="O296" s="5">
        <v>168.2</v>
      </c>
      <c r="P296" s="5">
        <v>156.69999999999999</v>
      </c>
      <c r="Q296" s="5">
        <v>188.1</v>
      </c>
      <c r="R296" s="5">
        <v>157.80000000000001</v>
      </c>
      <c r="S296" s="5">
        <v>147.9</v>
      </c>
      <c r="T296" s="5">
        <v>156.4</v>
      </c>
      <c r="U296" s="5">
        <v>159.9</v>
      </c>
      <c r="V296" s="5">
        <v>155.5</v>
      </c>
      <c r="W296" s="5">
        <v>151.19999999999999</v>
      </c>
      <c r="X296" s="5">
        <v>161.69999999999999</v>
      </c>
      <c r="Y296" s="5">
        <v>146.19999999999999</v>
      </c>
      <c r="Z296" s="5">
        <v>152.6</v>
      </c>
      <c r="AA296" s="5">
        <v>160.19999999999999</v>
      </c>
      <c r="AB296" s="5">
        <v>153.80000000000001</v>
      </c>
      <c r="AC296" s="5">
        <v>153.80000000000001</v>
      </c>
      <c r="AD296" s="5">
        <v>156.80000000000001</v>
      </c>
    </row>
    <row r="297" spans="1:30" x14ac:dyDescent="0.35">
      <c r="A297" s="5" t="s">
        <v>30</v>
      </c>
      <c r="B297" s="5">
        <v>2021</v>
      </c>
      <c r="C297" s="5" t="s">
        <v>37</v>
      </c>
      <c r="D297" s="11">
        <v>142.69999999999999</v>
      </c>
      <c r="E297" s="5">
        <v>195.5</v>
      </c>
      <c r="F297" s="5">
        <v>163.4</v>
      </c>
      <c r="G297" s="5">
        <v>155</v>
      </c>
      <c r="H297" s="5">
        <v>175.2</v>
      </c>
      <c r="I297" s="5">
        <v>160.6</v>
      </c>
      <c r="J297" s="5">
        <v>135.1</v>
      </c>
      <c r="K297" s="5">
        <v>161.1</v>
      </c>
      <c r="L297" s="5">
        <v>112.2</v>
      </c>
      <c r="M297" s="5">
        <v>164.4</v>
      </c>
      <c r="N297" s="5">
        <v>161.9</v>
      </c>
      <c r="O297" s="5">
        <v>166.8</v>
      </c>
      <c r="P297" s="5">
        <v>155.6</v>
      </c>
      <c r="Q297" s="5">
        <v>186.8</v>
      </c>
      <c r="R297" s="5">
        <v>160.69999999999999</v>
      </c>
      <c r="S297" s="5">
        <v>155.1</v>
      </c>
      <c r="T297" s="5">
        <v>159.9</v>
      </c>
      <c r="U297" s="5" t="s">
        <v>32</v>
      </c>
      <c r="V297" s="5">
        <v>156</v>
      </c>
      <c r="W297" s="5">
        <v>155.5</v>
      </c>
      <c r="X297" s="5">
        <v>165.3</v>
      </c>
      <c r="Y297" s="5">
        <v>151.69999999999999</v>
      </c>
      <c r="Z297" s="5">
        <v>158.6</v>
      </c>
      <c r="AA297" s="5">
        <v>164.1</v>
      </c>
      <c r="AB297" s="5">
        <v>154.6</v>
      </c>
      <c r="AC297" s="5">
        <v>158</v>
      </c>
      <c r="AD297" s="5">
        <v>157.6</v>
      </c>
    </row>
    <row r="298" spans="1:30" x14ac:dyDescent="0.35">
      <c r="A298" s="5" t="s">
        <v>33</v>
      </c>
      <c r="B298" s="5">
        <v>2021</v>
      </c>
      <c r="C298" s="5" t="s">
        <v>37</v>
      </c>
      <c r="D298" s="11">
        <v>147.6</v>
      </c>
      <c r="E298" s="5">
        <v>202.5</v>
      </c>
      <c r="F298" s="5">
        <v>166.4</v>
      </c>
      <c r="G298" s="5">
        <v>156</v>
      </c>
      <c r="H298" s="5">
        <v>161.4</v>
      </c>
      <c r="I298" s="5">
        <v>168.8</v>
      </c>
      <c r="J298" s="5">
        <v>161.6</v>
      </c>
      <c r="K298" s="5">
        <v>162.80000000000001</v>
      </c>
      <c r="L298" s="5">
        <v>114.8</v>
      </c>
      <c r="M298" s="5">
        <v>162.80000000000001</v>
      </c>
      <c r="N298" s="5">
        <v>151.5</v>
      </c>
      <c r="O298" s="5">
        <v>171.4</v>
      </c>
      <c r="P298" s="5">
        <v>162</v>
      </c>
      <c r="Q298" s="5">
        <v>194.4</v>
      </c>
      <c r="R298" s="5">
        <v>155.9</v>
      </c>
      <c r="S298" s="5">
        <v>139.30000000000001</v>
      </c>
      <c r="T298" s="5">
        <v>153.4</v>
      </c>
      <c r="U298" s="5">
        <v>161.4</v>
      </c>
      <c r="V298" s="5">
        <v>154.9</v>
      </c>
      <c r="W298" s="5">
        <v>147.6</v>
      </c>
      <c r="X298" s="5">
        <v>157.5</v>
      </c>
      <c r="Y298" s="5">
        <v>142.1</v>
      </c>
      <c r="Z298" s="5">
        <v>149.1</v>
      </c>
      <c r="AA298" s="5">
        <v>157.6</v>
      </c>
      <c r="AB298" s="5">
        <v>156.6</v>
      </c>
      <c r="AC298" s="5">
        <v>150.5</v>
      </c>
      <c r="AD298" s="5">
        <v>158</v>
      </c>
    </row>
    <row r="299" spans="1:30" x14ac:dyDescent="0.35">
      <c r="A299" s="5" t="s">
        <v>34</v>
      </c>
      <c r="B299" s="5">
        <v>2021</v>
      </c>
      <c r="C299" s="5" t="s">
        <v>37</v>
      </c>
      <c r="D299" s="11">
        <v>144.30000000000001</v>
      </c>
      <c r="E299" s="5">
        <v>198</v>
      </c>
      <c r="F299" s="5">
        <v>164.6</v>
      </c>
      <c r="G299" s="5">
        <v>155.4</v>
      </c>
      <c r="H299" s="5">
        <v>170.1</v>
      </c>
      <c r="I299" s="5">
        <v>164.4</v>
      </c>
      <c r="J299" s="5">
        <v>144.1</v>
      </c>
      <c r="K299" s="5">
        <v>161.69999999999999</v>
      </c>
      <c r="L299" s="5">
        <v>113.1</v>
      </c>
      <c r="M299" s="5">
        <v>163.9</v>
      </c>
      <c r="N299" s="5">
        <v>157.6</v>
      </c>
      <c r="O299" s="5">
        <v>168.9</v>
      </c>
      <c r="P299" s="5">
        <v>158</v>
      </c>
      <c r="Q299" s="5">
        <v>188.8</v>
      </c>
      <c r="R299" s="5">
        <v>158.80000000000001</v>
      </c>
      <c r="S299" s="5">
        <v>148.5</v>
      </c>
      <c r="T299" s="5">
        <v>157.30000000000001</v>
      </c>
      <c r="U299" s="5">
        <v>161.4</v>
      </c>
      <c r="V299" s="5">
        <v>155.6</v>
      </c>
      <c r="W299" s="5">
        <v>151.80000000000001</v>
      </c>
      <c r="X299" s="5">
        <v>162.30000000000001</v>
      </c>
      <c r="Y299" s="5">
        <v>146.6</v>
      </c>
      <c r="Z299" s="5">
        <v>153.19999999999999</v>
      </c>
      <c r="AA299" s="5">
        <v>160.30000000000001</v>
      </c>
      <c r="AB299" s="5">
        <v>155.4</v>
      </c>
      <c r="AC299" s="5">
        <v>154.4</v>
      </c>
      <c r="AD299" s="5">
        <v>157.80000000000001</v>
      </c>
    </row>
    <row r="300" spans="1:30" x14ac:dyDescent="0.35">
      <c r="A300" s="5" t="s">
        <v>30</v>
      </c>
      <c r="B300" s="5">
        <v>2021</v>
      </c>
      <c r="C300" s="5" t="s">
        <v>38</v>
      </c>
      <c r="D300" s="11">
        <v>145.1</v>
      </c>
      <c r="E300" s="5">
        <v>198.5</v>
      </c>
      <c r="F300" s="5">
        <v>168.6</v>
      </c>
      <c r="G300" s="5">
        <v>155.80000000000001</v>
      </c>
      <c r="H300" s="5">
        <v>184.4</v>
      </c>
      <c r="I300" s="5">
        <v>162.30000000000001</v>
      </c>
      <c r="J300" s="5">
        <v>138.4</v>
      </c>
      <c r="K300" s="5">
        <v>165.1</v>
      </c>
      <c r="L300" s="5">
        <v>114.3</v>
      </c>
      <c r="M300" s="5">
        <v>169.7</v>
      </c>
      <c r="N300" s="5">
        <v>164.6</v>
      </c>
      <c r="O300" s="5">
        <v>169.8</v>
      </c>
      <c r="P300" s="5">
        <v>158.69999999999999</v>
      </c>
      <c r="Q300" s="5">
        <v>189.6</v>
      </c>
      <c r="R300" s="5">
        <v>165.3</v>
      </c>
      <c r="S300" s="5">
        <v>160.6</v>
      </c>
      <c r="T300" s="5">
        <v>164.5</v>
      </c>
      <c r="U300" s="5" t="s">
        <v>32</v>
      </c>
      <c r="V300" s="5">
        <v>161.69999999999999</v>
      </c>
      <c r="W300" s="5">
        <v>158.80000000000001</v>
      </c>
      <c r="X300" s="5">
        <v>169.1</v>
      </c>
      <c r="Y300" s="5">
        <v>153.19999999999999</v>
      </c>
      <c r="Z300" s="5">
        <v>160</v>
      </c>
      <c r="AA300" s="5">
        <v>167.6</v>
      </c>
      <c r="AB300" s="5">
        <v>159.30000000000001</v>
      </c>
      <c r="AC300" s="5">
        <v>161.1</v>
      </c>
      <c r="AD300" s="5">
        <v>161.1</v>
      </c>
    </row>
    <row r="301" spans="1:30" x14ac:dyDescent="0.35">
      <c r="A301" s="5" t="s">
        <v>33</v>
      </c>
      <c r="B301" s="5">
        <v>2021</v>
      </c>
      <c r="C301" s="5" t="s">
        <v>38</v>
      </c>
      <c r="D301" s="11">
        <v>148.80000000000001</v>
      </c>
      <c r="E301" s="5">
        <v>204.3</v>
      </c>
      <c r="F301" s="5">
        <v>173</v>
      </c>
      <c r="G301" s="5">
        <v>156.5</v>
      </c>
      <c r="H301" s="5">
        <v>168.8</v>
      </c>
      <c r="I301" s="5">
        <v>172.5</v>
      </c>
      <c r="J301" s="5">
        <v>166.5</v>
      </c>
      <c r="K301" s="5">
        <v>165.9</v>
      </c>
      <c r="L301" s="5">
        <v>115.9</v>
      </c>
      <c r="M301" s="5">
        <v>165.2</v>
      </c>
      <c r="N301" s="5">
        <v>152</v>
      </c>
      <c r="O301" s="5">
        <v>171.1</v>
      </c>
      <c r="P301" s="5">
        <v>164.2</v>
      </c>
      <c r="Q301" s="5">
        <v>198.2</v>
      </c>
      <c r="R301" s="5">
        <v>156.5</v>
      </c>
      <c r="S301" s="5">
        <v>140.19999999999999</v>
      </c>
      <c r="T301" s="5">
        <v>154.1</v>
      </c>
      <c r="U301" s="5">
        <v>161.6</v>
      </c>
      <c r="V301" s="5">
        <v>155.5</v>
      </c>
      <c r="W301" s="5">
        <v>150.1</v>
      </c>
      <c r="X301" s="5">
        <v>160.4</v>
      </c>
      <c r="Y301" s="5">
        <v>145</v>
      </c>
      <c r="Z301" s="5">
        <v>152.6</v>
      </c>
      <c r="AA301" s="5">
        <v>156.6</v>
      </c>
      <c r="AB301" s="5">
        <v>157.5</v>
      </c>
      <c r="AC301" s="5">
        <v>152.30000000000001</v>
      </c>
      <c r="AD301" s="5">
        <v>159.5</v>
      </c>
    </row>
    <row r="302" spans="1:30" x14ac:dyDescent="0.35">
      <c r="A302" s="5" t="s">
        <v>34</v>
      </c>
      <c r="B302" s="5">
        <v>2021</v>
      </c>
      <c r="C302" s="5" t="s">
        <v>38</v>
      </c>
      <c r="D302" s="11">
        <v>146.30000000000001</v>
      </c>
      <c r="E302" s="5">
        <v>200.5</v>
      </c>
      <c r="F302" s="5">
        <v>170.3</v>
      </c>
      <c r="G302" s="5">
        <v>156.1</v>
      </c>
      <c r="H302" s="5">
        <v>178.7</v>
      </c>
      <c r="I302" s="5">
        <v>167.1</v>
      </c>
      <c r="J302" s="5">
        <v>147.9</v>
      </c>
      <c r="K302" s="5">
        <v>165.4</v>
      </c>
      <c r="L302" s="5">
        <v>114.8</v>
      </c>
      <c r="M302" s="5">
        <v>168.2</v>
      </c>
      <c r="N302" s="5">
        <v>159.30000000000001</v>
      </c>
      <c r="O302" s="5">
        <v>170.4</v>
      </c>
      <c r="P302" s="5">
        <v>160.69999999999999</v>
      </c>
      <c r="Q302" s="5">
        <v>191.9</v>
      </c>
      <c r="R302" s="5">
        <v>161.80000000000001</v>
      </c>
      <c r="S302" s="5">
        <v>152.1</v>
      </c>
      <c r="T302" s="5">
        <v>160.4</v>
      </c>
      <c r="U302" s="5">
        <v>161.6</v>
      </c>
      <c r="V302" s="5">
        <v>159.4</v>
      </c>
      <c r="W302" s="5">
        <v>154.69999999999999</v>
      </c>
      <c r="X302" s="5">
        <v>165.8</v>
      </c>
      <c r="Y302" s="5">
        <v>148.9</v>
      </c>
      <c r="Z302" s="5">
        <v>155.80000000000001</v>
      </c>
      <c r="AA302" s="5">
        <v>161.19999999999999</v>
      </c>
      <c r="AB302" s="5">
        <v>158.6</v>
      </c>
      <c r="AC302" s="5">
        <v>156.80000000000001</v>
      </c>
      <c r="AD302" s="5">
        <v>160.4</v>
      </c>
    </row>
    <row r="303" spans="1:30" x14ac:dyDescent="0.35">
      <c r="A303" s="5" t="s">
        <v>30</v>
      </c>
      <c r="B303" s="5">
        <v>2021</v>
      </c>
      <c r="C303" s="5" t="s">
        <v>39</v>
      </c>
      <c r="D303" s="11">
        <v>145.6</v>
      </c>
      <c r="E303" s="5">
        <v>200.1</v>
      </c>
      <c r="F303" s="5">
        <v>179.3</v>
      </c>
      <c r="G303" s="5">
        <v>156.1</v>
      </c>
      <c r="H303" s="5">
        <v>190.4</v>
      </c>
      <c r="I303" s="5">
        <v>158.6</v>
      </c>
      <c r="J303" s="5">
        <v>144.69999999999999</v>
      </c>
      <c r="K303" s="5">
        <v>165.5</v>
      </c>
      <c r="L303" s="5">
        <v>114.6</v>
      </c>
      <c r="M303" s="5">
        <v>170</v>
      </c>
      <c r="N303" s="5">
        <v>165.5</v>
      </c>
      <c r="O303" s="5">
        <v>171.7</v>
      </c>
      <c r="P303" s="5">
        <v>160.5</v>
      </c>
      <c r="Q303" s="5">
        <v>189.1</v>
      </c>
      <c r="R303" s="5">
        <v>165.3</v>
      </c>
      <c r="S303" s="5">
        <v>159.9</v>
      </c>
      <c r="T303" s="5">
        <v>164.6</v>
      </c>
      <c r="U303" s="5" t="s">
        <v>32</v>
      </c>
      <c r="V303" s="5">
        <v>162.1</v>
      </c>
      <c r="W303" s="5">
        <v>159.19999999999999</v>
      </c>
      <c r="X303" s="5">
        <v>169.7</v>
      </c>
      <c r="Y303" s="5">
        <v>154.19999999999999</v>
      </c>
      <c r="Z303" s="5">
        <v>160.4</v>
      </c>
      <c r="AA303" s="5">
        <v>166.8</v>
      </c>
      <c r="AB303" s="5">
        <v>159.4</v>
      </c>
      <c r="AC303" s="5">
        <v>161.5</v>
      </c>
      <c r="AD303" s="5">
        <v>162.1</v>
      </c>
    </row>
    <row r="304" spans="1:30" x14ac:dyDescent="0.35">
      <c r="A304" s="5" t="s">
        <v>33</v>
      </c>
      <c r="B304" s="5">
        <v>2021</v>
      </c>
      <c r="C304" s="5" t="s">
        <v>39</v>
      </c>
      <c r="D304" s="11">
        <v>149.19999999999999</v>
      </c>
      <c r="E304" s="5">
        <v>205.5</v>
      </c>
      <c r="F304" s="5">
        <v>182.8</v>
      </c>
      <c r="G304" s="5">
        <v>156.5</v>
      </c>
      <c r="H304" s="5">
        <v>172.2</v>
      </c>
      <c r="I304" s="5">
        <v>171.5</v>
      </c>
      <c r="J304" s="5">
        <v>176.2</v>
      </c>
      <c r="K304" s="5">
        <v>166.9</v>
      </c>
      <c r="L304" s="5">
        <v>116.1</v>
      </c>
      <c r="M304" s="5">
        <v>165.5</v>
      </c>
      <c r="N304" s="5">
        <v>152.30000000000001</v>
      </c>
      <c r="O304" s="5">
        <v>173.3</v>
      </c>
      <c r="P304" s="5">
        <v>166.2</v>
      </c>
      <c r="Q304" s="5">
        <v>195.6</v>
      </c>
      <c r="R304" s="5">
        <v>157.30000000000001</v>
      </c>
      <c r="S304" s="5">
        <v>140.5</v>
      </c>
      <c r="T304" s="5">
        <v>154.80000000000001</v>
      </c>
      <c r="U304" s="5">
        <v>160.5</v>
      </c>
      <c r="V304" s="5">
        <v>156.1</v>
      </c>
      <c r="W304" s="5">
        <v>149.80000000000001</v>
      </c>
      <c r="X304" s="5">
        <v>160.80000000000001</v>
      </c>
      <c r="Y304" s="5">
        <v>147.5</v>
      </c>
      <c r="Z304" s="5">
        <v>150.69999999999999</v>
      </c>
      <c r="AA304" s="5">
        <v>158.1</v>
      </c>
      <c r="AB304" s="5">
        <v>158</v>
      </c>
      <c r="AC304" s="5">
        <v>153.4</v>
      </c>
      <c r="AD304" s="5">
        <v>160.4</v>
      </c>
    </row>
    <row r="305" spans="1:30" x14ac:dyDescent="0.35">
      <c r="A305" s="5" t="s">
        <v>34</v>
      </c>
      <c r="B305" s="5">
        <v>2021</v>
      </c>
      <c r="C305" s="5" t="s">
        <v>39</v>
      </c>
      <c r="D305" s="11">
        <v>146.69999999999999</v>
      </c>
      <c r="E305" s="5">
        <v>202</v>
      </c>
      <c r="F305" s="5">
        <v>180.7</v>
      </c>
      <c r="G305" s="5">
        <v>156.19999999999999</v>
      </c>
      <c r="H305" s="5">
        <v>183.7</v>
      </c>
      <c r="I305" s="5">
        <v>164.6</v>
      </c>
      <c r="J305" s="5">
        <v>155.4</v>
      </c>
      <c r="K305" s="5">
        <v>166</v>
      </c>
      <c r="L305" s="5">
        <v>115.1</v>
      </c>
      <c r="M305" s="5">
        <v>168.5</v>
      </c>
      <c r="N305" s="5">
        <v>160</v>
      </c>
      <c r="O305" s="5">
        <v>172.4</v>
      </c>
      <c r="P305" s="5">
        <v>162.6</v>
      </c>
      <c r="Q305" s="5">
        <v>190.8</v>
      </c>
      <c r="R305" s="5">
        <v>162.19999999999999</v>
      </c>
      <c r="S305" s="5">
        <v>151.80000000000001</v>
      </c>
      <c r="T305" s="5">
        <v>160.69999999999999</v>
      </c>
      <c r="U305" s="5">
        <v>160.5</v>
      </c>
      <c r="V305" s="5">
        <v>159.80000000000001</v>
      </c>
      <c r="W305" s="5">
        <v>154.80000000000001</v>
      </c>
      <c r="X305" s="5">
        <v>166.3</v>
      </c>
      <c r="Y305" s="5">
        <v>150.69999999999999</v>
      </c>
      <c r="Z305" s="5">
        <v>154.9</v>
      </c>
      <c r="AA305" s="5">
        <v>161.69999999999999</v>
      </c>
      <c r="AB305" s="5">
        <v>158.80000000000001</v>
      </c>
      <c r="AC305" s="5">
        <v>157.6</v>
      </c>
      <c r="AD305" s="5">
        <v>161.30000000000001</v>
      </c>
    </row>
    <row r="306" spans="1:30" x14ac:dyDescent="0.35">
      <c r="A306" s="5" t="s">
        <v>30</v>
      </c>
      <c r="B306" s="5">
        <v>2021</v>
      </c>
      <c r="C306" s="5" t="s">
        <v>40</v>
      </c>
      <c r="D306" s="11">
        <v>145.1</v>
      </c>
      <c r="E306" s="5">
        <v>204.5</v>
      </c>
      <c r="F306" s="5">
        <v>180.4</v>
      </c>
      <c r="G306" s="5">
        <v>157.1</v>
      </c>
      <c r="H306" s="5">
        <v>188.7</v>
      </c>
      <c r="I306" s="5">
        <v>157.69999999999999</v>
      </c>
      <c r="J306" s="5">
        <v>152.80000000000001</v>
      </c>
      <c r="K306" s="5">
        <v>163.6</v>
      </c>
      <c r="L306" s="5">
        <v>113.9</v>
      </c>
      <c r="M306" s="5">
        <v>169.7</v>
      </c>
      <c r="N306" s="5">
        <v>166.2</v>
      </c>
      <c r="O306" s="5">
        <v>171</v>
      </c>
      <c r="P306" s="5">
        <v>161.69999999999999</v>
      </c>
      <c r="Q306" s="5">
        <v>189.7</v>
      </c>
      <c r="R306" s="5">
        <v>166</v>
      </c>
      <c r="S306" s="5">
        <v>161.1</v>
      </c>
      <c r="T306" s="5">
        <v>165.3</v>
      </c>
      <c r="U306" s="5" t="s">
        <v>32</v>
      </c>
      <c r="V306" s="5">
        <v>162.5</v>
      </c>
      <c r="W306" s="5">
        <v>160.30000000000001</v>
      </c>
      <c r="X306" s="5">
        <v>170.4</v>
      </c>
      <c r="Y306" s="5">
        <v>157.1</v>
      </c>
      <c r="Z306" s="5">
        <v>160.69999999999999</v>
      </c>
      <c r="AA306" s="5">
        <v>167.2</v>
      </c>
      <c r="AB306" s="5">
        <v>160.4</v>
      </c>
      <c r="AC306" s="5">
        <v>162.80000000000001</v>
      </c>
      <c r="AD306" s="5">
        <v>163.19999999999999</v>
      </c>
    </row>
    <row r="307" spans="1:30" x14ac:dyDescent="0.35">
      <c r="A307" s="5" t="s">
        <v>33</v>
      </c>
      <c r="B307" s="5">
        <v>2021</v>
      </c>
      <c r="C307" s="5" t="s">
        <v>40</v>
      </c>
      <c r="D307" s="11">
        <v>149.1</v>
      </c>
      <c r="E307" s="5">
        <v>210.9</v>
      </c>
      <c r="F307" s="5">
        <v>185</v>
      </c>
      <c r="G307" s="5">
        <v>158.19999999999999</v>
      </c>
      <c r="H307" s="5">
        <v>170.6</v>
      </c>
      <c r="I307" s="5">
        <v>170.9</v>
      </c>
      <c r="J307" s="5">
        <v>186.4</v>
      </c>
      <c r="K307" s="5">
        <v>164.7</v>
      </c>
      <c r="L307" s="5">
        <v>115.7</v>
      </c>
      <c r="M307" s="5">
        <v>165.5</v>
      </c>
      <c r="N307" s="5">
        <v>153.4</v>
      </c>
      <c r="O307" s="5">
        <v>173.5</v>
      </c>
      <c r="P307" s="5">
        <v>167.9</v>
      </c>
      <c r="Q307" s="5">
        <v>195.5</v>
      </c>
      <c r="R307" s="5">
        <v>157.9</v>
      </c>
      <c r="S307" s="5">
        <v>141.9</v>
      </c>
      <c r="T307" s="5">
        <v>155.5</v>
      </c>
      <c r="U307" s="5">
        <v>161.5</v>
      </c>
      <c r="V307" s="5">
        <v>157.69999999999999</v>
      </c>
      <c r="W307" s="5">
        <v>150.69999999999999</v>
      </c>
      <c r="X307" s="5">
        <v>161.5</v>
      </c>
      <c r="Y307" s="5">
        <v>149.5</v>
      </c>
      <c r="Z307" s="5">
        <v>151.19999999999999</v>
      </c>
      <c r="AA307" s="5">
        <v>160.30000000000001</v>
      </c>
      <c r="AB307" s="5">
        <v>159.6</v>
      </c>
      <c r="AC307" s="5">
        <v>155</v>
      </c>
      <c r="AD307" s="5">
        <v>161.80000000000001</v>
      </c>
    </row>
    <row r="308" spans="1:30" x14ac:dyDescent="0.35">
      <c r="A308" s="5" t="s">
        <v>34</v>
      </c>
      <c r="B308" s="5">
        <v>2021</v>
      </c>
      <c r="C308" s="5" t="s">
        <v>40</v>
      </c>
      <c r="D308" s="11">
        <v>146.4</v>
      </c>
      <c r="E308" s="5">
        <v>206.8</v>
      </c>
      <c r="F308" s="5">
        <v>182.2</v>
      </c>
      <c r="G308" s="5">
        <v>157.5</v>
      </c>
      <c r="H308" s="5">
        <v>182.1</v>
      </c>
      <c r="I308" s="5">
        <v>163.9</v>
      </c>
      <c r="J308" s="5">
        <v>164.2</v>
      </c>
      <c r="K308" s="5">
        <v>164</v>
      </c>
      <c r="L308" s="5">
        <v>114.5</v>
      </c>
      <c r="M308" s="5">
        <v>168.3</v>
      </c>
      <c r="N308" s="5">
        <v>160.9</v>
      </c>
      <c r="O308" s="5">
        <v>172.2</v>
      </c>
      <c r="P308" s="5">
        <v>164</v>
      </c>
      <c r="Q308" s="5">
        <v>191.2</v>
      </c>
      <c r="R308" s="5">
        <v>162.80000000000001</v>
      </c>
      <c r="S308" s="5">
        <v>153.1</v>
      </c>
      <c r="T308" s="5">
        <v>161.4</v>
      </c>
      <c r="U308" s="5">
        <v>161.5</v>
      </c>
      <c r="V308" s="5">
        <v>160.69999999999999</v>
      </c>
      <c r="W308" s="5">
        <v>155.80000000000001</v>
      </c>
      <c r="X308" s="5">
        <v>167</v>
      </c>
      <c r="Y308" s="5">
        <v>153.1</v>
      </c>
      <c r="Z308" s="5">
        <v>155.30000000000001</v>
      </c>
      <c r="AA308" s="5">
        <v>163.19999999999999</v>
      </c>
      <c r="AB308" s="5">
        <v>160.1</v>
      </c>
      <c r="AC308" s="5">
        <v>159</v>
      </c>
      <c r="AD308" s="5">
        <v>162.5</v>
      </c>
    </row>
    <row r="309" spans="1:30" x14ac:dyDescent="0.35">
      <c r="A309" s="5" t="s">
        <v>30</v>
      </c>
      <c r="B309" s="5">
        <v>2021</v>
      </c>
      <c r="C309" s="5" t="s">
        <v>41</v>
      </c>
      <c r="D309" s="11">
        <v>144.9</v>
      </c>
      <c r="E309" s="5">
        <v>202.3</v>
      </c>
      <c r="F309" s="5">
        <v>176.5</v>
      </c>
      <c r="G309" s="5">
        <v>157.5</v>
      </c>
      <c r="H309" s="5">
        <v>190.9</v>
      </c>
      <c r="I309" s="5">
        <v>155.69999999999999</v>
      </c>
      <c r="J309" s="5">
        <v>153.9</v>
      </c>
      <c r="K309" s="5">
        <v>162.80000000000001</v>
      </c>
      <c r="L309" s="5">
        <v>115.2</v>
      </c>
      <c r="M309" s="5">
        <v>169.8</v>
      </c>
      <c r="N309" s="5">
        <v>167.6</v>
      </c>
      <c r="O309" s="5">
        <v>171.9</v>
      </c>
      <c r="P309" s="5">
        <v>161.80000000000001</v>
      </c>
      <c r="Q309" s="5">
        <v>190.2</v>
      </c>
      <c r="R309" s="5">
        <v>167</v>
      </c>
      <c r="S309" s="5">
        <v>162.6</v>
      </c>
      <c r="T309" s="5">
        <v>166.3</v>
      </c>
      <c r="U309" s="5" t="s">
        <v>32</v>
      </c>
      <c r="V309" s="5">
        <v>163.1</v>
      </c>
      <c r="W309" s="5">
        <v>160.9</v>
      </c>
      <c r="X309" s="5">
        <v>171.1</v>
      </c>
      <c r="Y309" s="5">
        <v>157.69999999999999</v>
      </c>
      <c r="Z309" s="5">
        <v>161.1</v>
      </c>
      <c r="AA309" s="5">
        <v>167.5</v>
      </c>
      <c r="AB309" s="5">
        <v>160.30000000000001</v>
      </c>
      <c r="AC309" s="5">
        <v>163.30000000000001</v>
      </c>
      <c r="AD309" s="5">
        <v>163.6</v>
      </c>
    </row>
    <row r="310" spans="1:30" x14ac:dyDescent="0.35">
      <c r="A310" s="5" t="s">
        <v>33</v>
      </c>
      <c r="B310" s="5">
        <v>2021</v>
      </c>
      <c r="C310" s="5" t="s">
        <v>41</v>
      </c>
      <c r="D310" s="11">
        <v>149.30000000000001</v>
      </c>
      <c r="E310" s="5">
        <v>207.4</v>
      </c>
      <c r="F310" s="5">
        <v>174.1</v>
      </c>
      <c r="G310" s="5">
        <v>159.19999999999999</v>
      </c>
      <c r="H310" s="5">
        <v>175</v>
      </c>
      <c r="I310" s="5">
        <v>161.30000000000001</v>
      </c>
      <c r="J310" s="5">
        <v>183.3</v>
      </c>
      <c r="K310" s="5">
        <v>164.5</v>
      </c>
      <c r="L310" s="5">
        <v>120.4</v>
      </c>
      <c r="M310" s="5">
        <v>166.2</v>
      </c>
      <c r="N310" s="5">
        <v>154.80000000000001</v>
      </c>
      <c r="O310" s="5">
        <v>175.1</v>
      </c>
      <c r="P310" s="5">
        <v>167.3</v>
      </c>
      <c r="Q310" s="5">
        <v>196.5</v>
      </c>
      <c r="R310" s="5">
        <v>159.80000000000001</v>
      </c>
      <c r="S310" s="5">
        <v>143.6</v>
      </c>
      <c r="T310" s="5">
        <v>157.30000000000001</v>
      </c>
      <c r="U310" s="5">
        <v>162.1</v>
      </c>
      <c r="V310" s="5">
        <v>160.69999999999999</v>
      </c>
      <c r="W310" s="5">
        <v>153.19999999999999</v>
      </c>
      <c r="X310" s="5">
        <v>162.80000000000001</v>
      </c>
      <c r="Y310" s="5">
        <v>150.4</v>
      </c>
      <c r="Z310" s="5">
        <v>153.69999999999999</v>
      </c>
      <c r="AA310" s="5">
        <v>160.4</v>
      </c>
      <c r="AB310" s="5">
        <v>159.6</v>
      </c>
      <c r="AC310" s="5">
        <v>156</v>
      </c>
      <c r="AD310" s="5">
        <v>162.30000000000001</v>
      </c>
    </row>
    <row r="311" spans="1:30" x14ac:dyDescent="0.35">
      <c r="A311" s="5" t="s">
        <v>34</v>
      </c>
      <c r="B311" s="5">
        <v>2021</v>
      </c>
      <c r="C311" s="5" t="s">
        <v>41</v>
      </c>
      <c r="D311" s="11">
        <v>146.6</v>
      </c>
      <c r="E311" s="5">
        <v>204</v>
      </c>
      <c r="F311" s="5">
        <v>172.8</v>
      </c>
      <c r="G311" s="5">
        <v>158.4</v>
      </c>
      <c r="H311" s="5">
        <v>188</v>
      </c>
      <c r="I311" s="5">
        <v>156.80000000000001</v>
      </c>
      <c r="J311" s="5">
        <v>162.19999999999999</v>
      </c>
      <c r="K311" s="5">
        <v>164.1</v>
      </c>
      <c r="L311" s="5">
        <v>119.7</v>
      </c>
      <c r="M311" s="5">
        <v>168.8</v>
      </c>
      <c r="N311" s="5">
        <v>162.69999999999999</v>
      </c>
      <c r="O311" s="5">
        <v>173.9</v>
      </c>
      <c r="P311" s="5">
        <v>164</v>
      </c>
      <c r="Q311" s="5">
        <v>192.1</v>
      </c>
      <c r="R311" s="5">
        <v>164.5</v>
      </c>
      <c r="S311" s="5">
        <v>155.30000000000001</v>
      </c>
      <c r="T311" s="5">
        <v>163.19999999999999</v>
      </c>
      <c r="U311" s="5">
        <v>162.1</v>
      </c>
      <c r="V311" s="5">
        <v>162.6</v>
      </c>
      <c r="W311" s="5">
        <v>157.5</v>
      </c>
      <c r="X311" s="5">
        <v>168.4</v>
      </c>
      <c r="Y311" s="5">
        <v>154</v>
      </c>
      <c r="Z311" s="5">
        <v>157.6</v>
      </c>
      <c r="AA311" s="5">
        <v>163.80000000000001</v>
      </c>
      <c r="AB311" s="5">
        <v>160</v>
      </c>
      <c r="AC311" s="5">
        <v>160</v>
      </c>
      <c r="AD311" s="5">
        <v>163.19999999999999</v>
      </c>
    </row>
    <row r="312" spans="1:30" x14ac:dyDescent="0.35">
      <c r="A312" s="5" t="s">
        <v>30</v>
      </c>
      <c r="B312" s="5">
        <v>2021</v>
      </c>
      <c r="C312" s="5" t="s">
        <v>42</v>
      </c>
      <c r="D312" s="11">
        <v>145.4</v>
      </c>
      <c r="E312" s="5">
        <v>202.1</v>
      </c>
      <c r="F312" s="5">
        <v>172</v>
      </c>
      <c r="G312" s="5">
        <v>158</v>
      </c>
      <c r="H312" s="5">
        <v>195.5</v>
      </c>
      <c r="I312" s="5">
        <v>152.69999999999999</v>
      </c>
      <c r="J312" s="5">
        <v>151.4</v>
      </c>
      <c r="K312" s="5">
        <v>163.9</v>
      </c>
      <c r="L312" s="5">
        <v>119.3</v>
      </c>
      <c r="M312" s="5">
        <v>170.1</v>
      </c>
      <c r="N312" s="5">
        <v>168.3</v>
      </c>
      <c r="O312" s="5">
        <v>172.8</v>
      </c>
      <c r="P312" s="5">
        <v>162.1</v>
      </c>
      <c r="Q312" s="5">
        <v>190.5</v>
      </c>
      <c r="R312" s="5">
        <v>167.7</v>
      </c>
      <c r="S312" s="5">
        <v>163.6</v>
      </c>
      <c r="T312" s="5">
        <v>167.1</v>
      </c>
      <c r="U312" s="5" t="s">
        <v>32</v>
      </c>
      <c r="V312" s="5">
        <v>163.69999999999999</v>
      </c>
      <c r="W312" s="5">
        <v>161.30000000000001</v>
      </c>
      <c r="X312" s="5">
        <v>171.9</v>
      </c>
      <c r="Y312" s="5">
        <v>157.80000000000001</v>
      </c>
      <c r="Z312" s="5">
        <v>162.69999999999999</v>
      </c>
      <c r="AA312" s="5">
        <v>168.5</v>
      </c>
      <c r="AB312" s="5">
        <v>160.19999999999999</v>
      </c>
      <c r="AC312" s="5">
        <v>163.80000000000001</v>
      </c>
      <c r="AD312" s="5">
        <v>164</v>
      </c>
    </row>
    <row r="313" spans="1:30" x14ac:dyDescent="0.35">
      <c r="A313" s="5" t="s">
        <v>33</v>
      </c>
      <c r="B313" s="5">
        <v>2021</v>
      </c>
      <c r="C313" s="5" t="s">
        <v>42</v>
      </c>
      <c r="D313" s="11">
        <v>149.30000000000001</v>
      </c>
      <c r="E313" s="5">
        <v>207.4</v>
      </c>
      <c r="F313" s="5">
        <v>174.1</v>
      </c>
      <c r="G313" s="5">
        <v>159.1</v>
      </c>
      <c r="H313" s="5">
        <v>175</v>
      </c>
      <c r="I313" s="5">
        <v>161.19999999999999</v>
      </c>
      <c r="J313" s="5">
        <v>183.5</v>
      </c>
      <c r="K313" s="5">
        <v>164.5</v>
      </c>
      <c r="L313" s="5">
        <v>120.4</v>
      </c>
      <c r="M313" s="5">
        <v>166.2</v>
      </c>
      <c r="N313" s="5">
        <v>154.80000000000001</v>
      </c>
      <c r="O313" s="5">
        <v>175.1</v>
      </c>
      <c r="P313" s="5">
        <v>167.3</v>
      </c>
      <c r="Q313" s="5">
        <v>196.5</v>
      </c>
      <c r="R313" s="5">
        <v>159.80000000000001</v>
      </c>
      <c r="S313" s="5">
        <v>143.6</v>
      </c>
      <c r="T313" s="5">
        <v>157.4</v>
      </c>
      <c r="U313" s="5">
        <v>162.1</v>
      </c>
      <c r="V313" s="5">
        <v>160.80000000000001</v>
      </c>
      <c r="W313" s="5">
        <v>153.30000000000001</v>
      </c>
      <c r="X313" s="5">
        <v>162.80000000000001</v>
      </c>
      <c r="Y313" s="5">
        <v>150.5</v>
      </c>
      <c r="Z313" s="5">
        <v>153.9</v>
      </c>
      <c r="AA313" s="5">
        <v>160.30000000000001</v>
      </c>
      <c r="AB313" s="5">
        <v>159.6</v>
      </c>
      <c r="AC313" s="5">
        <v>156</v>
      </c>
      <c r="AD313" s="5">
        <v>162.30000000000001</v>
      </c>
    </row>
    <row r="314" spans="1:30" x14ac:dyDescent="0.35">
      <c r="A314" s="5" t="s">
        <v>34</v>
      </c>
      <c r="B314" s="5">
        <v>2021</v>
      </c>
      <c r="C314" s="5" t="s">
        <v>42</v>
      </c>
      <c r="D314" s="11">
        <v>146.6</v>
      </c>
      <c r="E314" s="5">
        <v>204</v>
      </c>
      <c r="F314" s="5">
        <v>172.8</v>
      </c>
      <c r="G314" s="5">
        <v>158.4</v>
      </c>
      <c r="H314" s="5">
        <v>188</v>
      </c>
      <c r="I314" s="5">
        <v>156.69999999999999</v>
      </c>
      <c r="J314" s="5">
        <v>162.30000000000001</v>
      </c>
      <c r="K314" s="5">
        <v>164.1</v>
      </c>
      <c r="L314" s="5">
        <v>119.7</v>
      </c>
      <c r="M314" s="5">
        <v>168.8</v>
      </c>
      <c r="N314" s="5">
        <v>162.69999999999999</v>
      </c>
      <c r="O314" s="5">
        <v>173.9</v>
      </c>
      <c r="P314" s="5">
        <v>164</v>
      </c>
      <c r="Q314" s="5">
        <v>192.1</v>
      </c>
      <c r="R314" s="5">
        <v>164.6</v>
      </c>
      <c r="S314" s="5">
        <v>155.30000000000001</v>
      </c>
      <c r="T314" s="5">
        <v>163.30000000000001</v>
      </c>
      <c r="U314" s="5">
        <v>162.1</v>
      </c>
      <c r="V314" s="5">
        <v>162.6</v>
      </c>
      <c r="W314" s="5">
        <v>157.5</v>
      </c>
      <c r="X314" s="5">
        <v>168.4</v>
      </c>
      <c r="Y314" s="5">
        <v>154</v>
      </c>
      <c r="Z314" s="5">
        <v>157.69999999999999</v>
      </c>
      <c r="AA314" s="5">
        <v>163.69999999999999</v>
      </c>
      <c r="AB314" s="5">
        <v>160</v>
      </c>
      <c r="AC314" s="5">
        <v>160</v>
      </c>
      <c r="AD314" s="5">
        <v>163.19999999999999</v>
      </c>
    </row>
    <row r="315" spans="1:30" x14ac:dyDescent="0.35">
      <c r="A315" s="5" t="s">
        <v>30</v>
      </c>
      <c r="B315" s="5">
        <v>2021</v>
      </c>
      <c r="C315" s="5" t="s">
        <v>43</v>
      </c>
      <c r="D315" s="11">
        <v>146.1</v>
      </c>
      <c r="E315" s="5">
        <v>202.5</v>
      </c>
      <c r="F315" s="5">
        <v>170.1</v>
      </c>
      <c r="G315" s="5">
        <v>158.4</v>
      </c>
      <c r="H315" s="5">
        <v>198.8</v>
      </c>
      <c r="I315" s="5">
        <v>152.6</v>
      </c>
      <c r="J315" s="5">
        <v>170.4</v>
      </c>
      <c r="K315" s="5">
        <v>165.2</v>
      </c>
      <c r="L315" s="5">
        <v>121.6</v>
      </c>
      <c r="M315" s="5">
        <v>170.6</v>
      </c>
      <c r="N315" s="5">
        <v>168.8</v>
      </c>
      <c r="O315" s="5">
        <v>173.6</v>
      </c>
      <c r="P315" s="5">
        <v>165.5</v>
      </c>
      <c r="Q315" s="5">
        <v>191.2</v>
      </c>
      <c r="R315" s="5">
        <v>168.9</v>
      </c>
      <c r="S315" s="5">
        <v>164.8</v>
      </c>
      <c r="T315" s="5">
        <v>168.3</v>
      </c>
      <c r="U315" s="5" t="s">
        <v>32</v>
      </c>
      <c r="V315" s="5">
        <v>165.5</v>
      </c>
      <c r="W315" s="5">
        <v>162</v>
      </c>
      <c r="X315" s="5">
        <v>172.5</v>
      </c>
      <c r="Y315" s="5">
        <v>159.5</v>
      </c>
      <c r="Z315" s="5">
        <v>163.19999999999999</v>
      </c>
      <c r="AA315" s="5">
        <v>169</v>
      </c>
      <c r="AB315" s="5">
        <v>161.1</v>
      </c>
      <c r="AC315" s="5">
        <v>164.7</v>
      </c>
      <c r="AD315" s="5">
        <v>166.3</v>
      </c>
    </row>
    <row r="316" spans="1:30" x14ac:dyDescent="0.35">
      <c r="A316" s="5" t="s">
        <v>33</v>
      </c>
      <c r="B316" s="5">
        <v>2021</v>
      </c>
      <c r="C316" s="5" t="s">
        <v>43</v>
      </c>
      <c r="D316" s="11">
        <v>150.1</v>
      </c>
      <c r="E316" s="5">
        <v>208.4</v>
      </c>
      <c r="F316" s="5">
        <v>173</v>
      </c>
      <c r="G316" s="5">
        <v>159.19999999999999</v>
      </c>
      <c r="H316" s="5">
        <v>176.6</v>
      </c>
      <c r="I316" s="5">
        <v>159.30000000000001</v>
      </c>
      <c r="J316" s="5">
        <v>214.4</v>
      </c>
      <c r="K316" s="5">
        <v>165.3</v>
      </c>
      <c r="L316" s="5">
        <v>122.5</v>
      </c>
      <c r="M316" s="5">
        <v>166.8</v>
      </c>
      <c r="N316" s="5">
        <v>155.4</v>
      </c>
      <c r="O316" s="5">
        <v>175.9</v>
      </c>
      <c r="P316" s="5">
        <v>171.5</v>
      </c>
      <c r="Q316" s="5">
        <v>197</v>
      </c>
      <c r="R316" s="5">
        <v>160.80000000000001</v>
      </c>
      <c r="S316" s="5">
        <v>144.4</v>
      </c>
      <c r="T316" s="5">
        <v>158.30000000000001</v>
      </c>
      <c r="U316" s="5">
        <v>163.6</v>
      </c>
      <c r="V316" s="5">
        <v>162.19999999999999</v>
      </c>
      <c r="W316" s="5">
        <v>154.30000000000001</v>
      </c>
      <c r="X316" s="5">
        <v>163.5</v>
      </c>
      <c r="Y316" s="5">
        <v>152.19999999999999</v>
      </c>
      <c r="Z316" s="5">
        <v>155.1</v>
      </c>
      <c r="AA316" s="5">
        <v>160.30000000000001</v>
      </c>
      <c r="AB316" s="5">
        <v>160.30000000000001</v>
      </c>
      <c r="AC316" s="5">
        <v>157</v>
      </c>
      <c r="AD316" s="5">
        <v>164.6</v>
      </c>
    </row>
    <row r="317" spans="1:30" x14ac:dyDescent="0.35">
      <c r="A317" s="5" t="s">
        <v>34</v>
      </c>
      <c r="B317" s="5">
        <v>2021</v>
      </c>
      <c r="C317" s="5" t="s">
        <v>43</v>
      </c>
      <c r="D317" s="11">
        <v>147.4</v>
      </c>
      <c r="E317" s="5">
        <v>204.6</v>
      </c>
      <c r="F317" s="5">
        <v>171.2</v>
      </c>
      <c r="G317" s="5">
        <v>158.69999999999999</v>
      </c>
      <c r="H317" s="5">
        <v>190.6</v>
      </c>
      <c r="I317" s="5">
        <v>155.69999999999999</v>
      </c>
      <c r="J317" s="5">
        <v>185.3</v>
      </c>
      <c r="K317" s="5">
        <v>165.2</v>
      </c>
      <c r="L317" s="5">
        <v>121.9</v>
      </c>
      <c r="M317" s="5">
        <v>169.3</v>
      </c>
      <c r="N317" s="5">
        <v>163.19999999999999</v>
      </c>
      <c r="O317" s="5">
        <v>174.7</v>
      </c>
      <c r="P317" s="5">
        <v>167.7</v>
      </c>
      <c r="Q317" s="5">
        <v>192.7</v>
      </c>
      <c r="R317" s="5">
        <v>165.7</v>
      </c>
      <c r="S317" s="5">
        <v>156.30000000000001</v>
      </c>
      <c r="T317" s="5">
        <v>164.3</v>
      </c>
      <c r="U317" s="5">
        <v>163.6</v>
      </c>
      <c r="V317" s="5">
        <v>164.2</v>
      </c>
      <c r="W317" s="5">
        <v>158.4</v>
      </c>
      <c r="X317" s="5">
        <v>169.1</v>
      </c>
      <c r="Y317" s="5">
        <v>155.69999999999999</v>
      </c>
      <c r="Z317" s="5">
        <v>158.6</v>
      </c>
      <c r="AA317" s="5">
        <v>163.9</v>
      </c>
      <c r="AB317" s="5">
        <v>160.80000000000001</v>
      </c>
      <c r="AC317" s="5">
        <v>161</v>
      </c>
      <c r="AD317" s="5">
        <v>165.5</v>
      </c>
    </row>
    <row r="318" spans="1:30" x14ac:dyDescent="0.35">
      <c r="A318" s="5" t="s">
        <v>30</v>
      </c>
      <c r="B318" s="5">
        <v>2021</v>
      </c>
      <c r="C318" s="5" t="s">
        <v>45</v>
      </c>
      <c r="D318" s="11">
        <v>146.9</v>
      </c>
      <c r="E318" s="5">
        <v>199.8</v>
      </c>
      <c r="F318" s="5">
        <v>171.5</v>
      </c>
      <c r="G318" s="5">
        <v>159.1</v>
      </c>
      <c r="H318" s="5">
        <v>198.4</v>
      </c>
      <c r="I318" s="5">
        <v>153.19999999999999</v>
      </c>
      <c r="J318" s="5">
        <v>183.9</v>
      </c>
      <c r="K318" s="5">
        <v>165.4</v>
      </c>
      <c r="L318" s="5">
        <v>122.1</v>
      </c>
      <c r="M318" s="5">
        <v>170.8</v>
      </c>
      <c r="N318" s="5">
        <v>169.1</v>
      </c>
      <c r="O318" s="5">
        <v>174.3</v>
      </c>
      <c r="P318" s="5">
        <v>167.5</v>
      </c>
      <c r="Q318" s="5">
        <v>191.4</v>
      </c>
      <c r="R318" s="5">
        <v>170.4</v>
      </c>
      <c r="S318" s="5">
        <v>166</v>
      </c>
      <c r="T318" s="5">
        <v>169.8</v>
      </c>
      <c r="U318" s="5" t="s">
        <v>32</v>
      </c>
      <c r="V318" s="5">
        <v>165.3</v>
      </c>
      <c r="W318" s="5">
        <v>162.9</v>
      </c>
      <c r="X318" s="5">
        <v>173.4</v>
      </c>
      <c r="Y318" s="5">
        <v>158.9</v>
      </c>
      <c r="Z318" s="5">
        <v>163.80000000000001</v>
      </c>
      <c r="AA318" s="5">
        <v>169.3</v>
      </c>
      <c r="AB318" s="5">
        <v>162.4</v>
      </c>
      <c r="AC318" s="5">
        <v>165.2</v>
      </c>
      <c r="AD318" s="5">
        <v>167.6</v>
      </c>
    </row>
    <row r="319" spans="1:30" x14ac:dyDescent="0.35">
      <c r="A319" s="5" t="s">
        <v>33</v>
      </c>
      <c r="B319" s="5">
        <v>2021</v>
      </c>
      <c r="C319" s="5" t="s">
        <v>45</v>
      </c>
      <c r="D319" s="11">
        <v>151</v>
      </c>
      <c r="E319" s="5">
        <v>204.9</v>
      </c>
      <c r="F319" s="5">
        <v>175.4</v>
      </c>
      <c r="G319" s="5">
        <v>159.6</v>
      </c>
      <c r="H319" s="5">
        <v>175.8</v>
      </c>
      <c r="I319" s="5">
        <v>160.30000000000001</v>
      </c>
      <c r="J319" s="5">
        <v>229.1</v>
      </c>
      <c r="K319" s="5">
        <v>165.1</v>
      </c>
      <c r="L319" s="5">
        <v>123.1</v>
      </c>
      <c r="M319" s="5">
        <v>167.2</v>
      </c>
      <c r="N319" s="5">
        <v>156.1</v>
      </c>
      <c r="O319" s="5">
        <v>176.8</v>
      </c>
      <c r="P319" s="5">
        <v>173.5</v>
      </c>
      <c r="Q319" s="5">
        <v>197</v>
      </c>
      <c r="R319" s="5">
        <v>162.30000000000001</v>
      </c>
      <c r="S319" s="5">
        <v>145.30000000000001</v>
      </c>
      <c r="T319" s="5">
        <v>159.69999999999999</v>
      </c>
      <c r="U319" s="5">
        <v>164.2</v>
      </c>
      <c r="V319" s="5">
        <v>161.6</v>
      </c>
      <c r="W319" s="5">
        <v>155.19999999999999</v>
      </c>
      <c r="X319" s="5">
        <v>164.2</v>
      </c>
      <c r="Y319" s="5">
        <v>151.19999999999999</v>
      </c>
      <c r="Z319" s="5">
        <v>156.69999999999999</v>
      </c>
      <c r="AA319" s="5">
        <v>160.80000000000001</v>
      </c>
      <c r="AB319" s="5">
        <v>161.80000000000001</v>
      </c>
      <c r="AC319" s="5">
        <v>157.30000000000001</v>
      </c>
      <c r="AD319" s="5">
        <v>165.6</v>
      </c>
    </row>
    <row r="320" spans="1:30" x14ac:dyDescent="0.35">
      <c r="A320" s="5" t="s">
        <v>34</v>
      </c>
      <c r="B320" s="5">
        <v>2021</v>
      </c>
      <c r="C320" s="5" t="s">
        <v>45</v>
      </c>
      <c r="D320" s="11">
        <v>148.19999999999999</v>
      </c>
      <c r="E320" s="5">
        <v>201.6</v>
      </c>
      <c r="F320" s="5">
        <v>173</v>
      </c>
      <c r="G320" s="5">
        <v>159.30000000000001</v>
      </c>
      <c r="H320" s="5">
        <v>190.1</v>
      </c>
      <c r="I320" s="5">
        <v>156.5</v>
      </c>
      <c r="J320" s="5">
        <v>199.2</v>
      </c>
      <c r="K320" s="5">
        <v>165.3</v>
      </c>
      <c r="L320" s="5">
        <v>122.4</v>
      </c>
      <c r="M320" s="5">
        <v>169.6</v>
      </c>
      <c r="N320" s="5">
        <v>163.69999999999999</v>
      </c>
      <c r="O320" s="5">
        <v>175.5</v>
      </c>
      <c r="P320" s="5">
        <v>169.7</v>
      </c>
      <c r="Q320" s="5">
        <v>192.9</v>
      </c>
      <c r="R320" s="5">
        <v>167.2</v>
      </c>
      <c r="S320" s="5">
        <v>157.4</v>
      </c>
      <c r="T320" s="5">
        <v>165.8</v>
      </c>
      <c r="U320" s="5">
        <v>164.2</v>
      </c>
      <c r="V320" s="5">
        <v>163.9</v>
      </c>
      <c r="W320" s="5">
        <v>159.30000000000001</v>
      </c>
      <c r="X320" s="5">
        <v>169.9</v>
      </c>
      <c r="Y320" s="5">
        <v>154.80000000000001</v>
      </c>
      <c r="Z320" s="5">
        <v>159.80000000000001</v>
      </c>
      <c r="AA320" s="5">
        <v>164.3</v>
      </c>
      <c r="AB320" s="5">
        <v>162.19999999999999</v>
      </c>
      <c r="AC320" s="5">
        <v>161.4</v>
      </c>
      <c r="AD320" s="5">
        <v>166.7</v>
      </c>
    </row>
    <row r="321" spans="1:30" x14ac:dyDescent="0.35">
      <c r="A321" s="5" t="s">
        <v>30</v>
      </c>
      <c r="B321" s="5">
        <v>2021</v>
      </c>
      <c r="C321" s="5" t="s">
        <v>46</v>
      </c>
      <c r="D321" s="11">
        <v>147.4</v>
      </c>
      <c r="E321" s="5">
        <v>197</v>
      </c>
      <c r="F321" s="5">
        <v>176.5</v>
      </c>
      <c r="G321" s="5">
        <v>159.80000000000001</v>
      </c>
      <c r="H321" s="5">
        <v>195.8</v>
      </c>
      <c r="I321" s="5">
        <v>152</v>
      </c>
      <c r="J321" s="5">
        <v>172.3</v>
      </c>
      <c r="K321" s="5">
        <v>164.5</v>
      </c>
      <c r="L321" s="5">
        <v>120.6</v>
      </c>
      <c r="M321" s="5">
        <v>171.7</v>
      </c>
      <c r="N321" s="5">
        <v>169.7</v>
      </c>
      <c r="O321" s="5">
        <v>175.1</v>
      </c>
      <c r="P321" s="5">
        <v>165.8</v>
      </c>
      <c r="Q321" s="5">
        <v>190.8</v>
      </c>
      <c r="R321" s="5">
        <v>171.8</v>
      </c>
      <c r="S321" s="5">
        <v>167.3</v>
      </c>
      <c r="T321" s="5">
        <v>171.2</v>
      </c>
      <c r="U321" s="5" t="s">
        <v>32</v>
      </c>
      <c r="V321" s="5">
        <v>165.6</v>
      </c>
      <c r="W321" s="5">
        <v>163.9</v>
      </c>
      <c r="X321" s="5">
        <v>174</v>
      </c>
      <c r="Y321" s="5">
        <v>160.1</v>
      </c>
      <c r="Z321" s="5">
        <v>164.5</v>
      </c>
      <c r="AA321" s="5">
        <v>169.7</v>
      </c>
      <c r="AB321" s="5">
        <v>162.80000000000001</v>
      </c>
      <c r="AC321" s="5">
        <v>166</v>
      </c>
      <c r="AD321" s="5">
        <v>167</v>
      </c>
    </row>
    <row r="322" spans="1:30" x14ac:dyDescent="0.35">
      <c r="A322" s="5" t="s">
        <v>33</v>
      </c>
      <c r="B322" s="5">
        <v>2021</v>
      </c>
      <c r="C322" s="5" t="s">
        <v>46</v>
      </c>
      <c r="D322" s="11">
        <v>151.6</v>
      </c>
      <c r="E322" s="5">
        <v>202.2</v>
      </c>
      <c r="F322" s="5">
        <v>180</v>
      </c>
      <c r="G322" s="5">
        <v>160</v>
      </c>
      <c r="H322" s="5">
        <v>173.5</v>
      </c>
      <c r="I322" s="5">
        <v>158.30000000000001</v>
      </c>
      <c r="J322" s="5">
        <v>219.5</v>
      </c>
      <c r="K322" s="5">
        <v>164.2</v>
      </c>
      <c r="L322" s="5">
        <v>121.9</v>
      </c>
      <c r="M322" s="5">
        <v>168.2</v>
      </c>
      <c r="N322" s="5">
        <v>156.5</v>
      </c>
      <c r="O322" s="5">
        <v>178.2</v>
      </c>
      <c r="P322" s="5">
        <v>172.2</v>
      </c>
      <c r="Q322" s="5">
        <v>196.8</v>
      </c>
      <c r="R322" s="5">
        <v>163.30000000000001</v>
      </c>
      <c r="S322" s="5">
        <v>146.69999999999999</v>
      </c>
      <c r="T322" s="5">
        <v>160.69999999999999</v>
      </c>
      <c r="U322" s="5">
        <v>163.4</v>
      </c>
      <c r="V322" s="5">
        <v>161.69999999999999</v>
      </c>
      <c r="W322" s="5">
        <v>156</v>
      </c>
      <c r="X322" s="5">
        <v>165.1</v>
      </c>
      <c r="Y322" s="5">
        <v>151.80000000000001</v>
      </c>
      <c r="Z322" s="5">
        <v>157.6</v>
      </c>
      <c r="AA322" s="5">
        <v>160.6</v>
      </c>
      <c r="AB322" s="5">
        <v>162.4</v>
      </c>
      <c r="AC322" s="5">
        <v>157.80000000000001</v>
      </c>
      <c r="AD322" s="5">
        <v>165.2</v>
      </c>
    </row>
    <row r="323" spans="1:30" x14ac:dyDescent="0.35">
      <c r="A323" s="5" t="s">
        <v>34</v>
      </c>
      <c r="B323" s="5">
        <v>2021</v>
      </c>
      <c r="C323" s="5" t="s">
        <v>46</v>
      </c>
      <c r="D323" s="11">
        <v>148.69999999999999</v>
      </c>
      <c r="E323" s="5">
        <v>198.8</v>
      </c>
      <c r="F323" s="5">
        <v>177.9</v>
      </c>
      <c r="G323" s="5">
        <v>159.9</v>
      </c>
      <c r="H323" s="5">
        <v>187.6</v>
      </c>
      <c r="I323" s="5">
        <v>154.9</v>
      </c>
      <c r="J323" s="5">
        <v>188.3</v>
      </c>
      <c r="K323" s="5">
        <v>164.4</v>
      </c>
      <c r="L323" s="5">
        <v>121</v>
      </c>
      <c r="M323" s="5">
        <v>170.5</v>
      </c>
      <c r="N323" s="5">
        <v>164.2</v>
      </c>
      <c r="O323" s="5">
        <v>176.5</v>
      </c>
      <c r="P323" s="5">
        <v>168.2</v>
      </c>
      <c r="Q323" s="5">
        <v>192.4</v>
      </c>
      <c r="R323" s="5">
        <v>168.5</v>
      </c>
      <c r="S323" s="5">
        <v>158.69999999999999</v>
      </c>
      <c r="T323" s="5">
        <v>167</v>
      </c>
      <c r="U323" s="5">
        <v>163.4</v>
      </c>
      <c r="V323" s="5">
        <v>164.1</v>
      </c>
      <c r="W323" s="5">
        <v>160.19999999999999</v>
      </c>
      <c r="X323" s="5">
        <v>170.6</v>
      </c>
      <c r="Y323" s="5">
        <v>155.69999999999999</v>
      </c>
      <c r="Z323" s="5">
        <v>160.6</v>
      </c>
      <c r="AA323" s="5">
        <v>164.4</v>
      </c>
      <c r="AB323" s="5">
        <v>162.6</v>
      </c>
      <c r="AC323" s="5">
        <v>162</v>
      </c>
      <c r="AD323" s="5">
        <v>166.2</v>
      </c>
    </row>
    <row r="324" spans="1:30" x14ac:dyDescent="0.35">
      <c r="A324" s="5" t="s">
        <v>30</v>
      </c>
      <c r="B324" s="5">
        <v>2022</v>
      </c>
      <c r="C324" s="5" t="s">
        <v>31</v>
      </c>
      <c r="D324" s="11">
        <v>148.30000000000001</v>
      </c>
      <c r="E324" s="5">
        <v>196.9</v>
      </c>
      <c r="F324" s="5">
        <v>178</v>
      </c>
      <c r="G324" s="5">
        <v>160.5</v>
      </c>
      <c r="H324" s="5">
        <v>192.6</v>
      </c>
      <c r="I324" s="5">
        <v>151.19999999999999</v>
      </c>
      <c r="J324" s="5">
        <v>159.19999999999999</v>
      </c>
      <c r="K324" s="5">
        <v>164</v>
      </c>
      <c r="L324" s="5">
        <v>119.3</v>
      </c>
      <c r="M324" s="5">
        <v>173.3</v>
      </c>
      <c r="N324" s="5">
        <v>169.8</v>
      </c>
      <c r="O324" s="5">
        <v>175.8</v>
      </c>
      <c r="P324" s="5">
        <v>164.1</v>
      </c>
      <c r="Q324" s="5">
        <v>190.7</v>
      </c>
      <c r="R324" s="5">
        <v>173.2</v>
      </c>
      <c r="S324" s="5">
        <v>169.3</v>
      </c>
      <c r="T324" s="5">
        <v>172.7</v>
      </c>
      <c r="U324" s="5" t="s">
        <v>32</v>
      </c>
      <c r="V324" s="5">
        <v>165.8</v>
      </c>
      <c r="W324" s="5">
        <v>164.9</v>
      </c>
      <c r="X324" s="5">
        <v>174.7</v>
      </c>
      <c r="Y324" s="5">
        <v>160.80000000000001</v>
      </c>
      <c r="Z324" s="5">
        <v>164.9</v>
      </c>
      <c r="AA324" s="5">
        <v>169.9</v>
      </c>
      <c r="AB324" s="5">
        <v>163.19999999999999</v>
      </c>
      <c r="AC324" s="5">
        <v>166.6</v>
      </c>
      <c r="AD324" s="5">
        <v>166.4</v>
      </c>
    </row>
    <row r="325" spans="1:30" x14ac:dyDescent="0.35">
      <c r="A325" s="5" t="s">
        <v>33</v>
      </c>
      <c r="B325" s="5">
        <v>2022</v>
      </c>
      <c r="C325" s="5" t="s">
        <v>31</v>
      </c>
      <c r="D325" s="11">
        <v>152.19999999999999</v>
      </c>
      <c r="E325" s="5">
        <v>202.1</v>
      </c>
      <c r="F325" s="5">
        <v>180.1</v>
      </c>
      <c r="G325" s="5">
        <v>160.4</v>
      </c>
      <c r="H325" s="5">
        <v>171</v>
      </c>
      <c r="I325" s="5">
        <v>156.5</v>
      </c>
      <c r="J325" s="5">
        <v>203.6</v>
      </c>
      <c r="K325" s="5">
        <v>163.80000000000001</v>
      </c>
      <c r="L325" s="5">
        <v>121.3</v>
      </c>
      <c r="M325" s="5">
        <v>169.8</v>
      </c>
      <c r="N325" s="5">
        <v>156.6</v>
      </c>
      <c r="O325" s="5">
        <v>179</v>
      </c>
      <c r="P325" s="5">
        <v>170.3</v>
      </c>
      <c r="Q325" s="5">
        <v>196.4</v>
      </c>
      <c r="R325" s="5">
        <v>164.7</v>
      </c>
      <c r="S325" s="5">
        <v>148.5</v>
      </c>
      <c r="T325" s="5">
        <v>162.19999999999999</v>
      </c>
      <c r="U325" s="5">
        <v>164.5</v>
      </c>
      <c r="V325" s="5">
        <v>161.6</v>
      </c>
      <c r="W325" s="5">
        <v>156.80000000000001</v>
      </c>
      <c r="X325" s="5">
        <v>166.1</v>
      </c>
      <c r="Y325" s="5">
        <v>152.69999999999999</v>
      </c>
      <c r="Z325" s="5">
        <v>158.4</v>
      </c>
      <c r="AA325" s="5">
        <v>161</v>
      </c>
      <c r="AB325" s="5">
        <v>162.80000000000001</v>
      </c>
      <c r="AC325" s="5">
        <v>158.6</v>
      </c>
      <c r="AD325" s="5">
        <v>165</v>
      </c>
    </row>
    <row r="326" spans="1:30" x14ac:dyDescent="0.35">
      <c r="A326" s="5" t="s">
        <v>34</v>
      </c>
      <c r="B326" s="5">
        <v>2022</v>
      </c>
      <c r="C326" s="5" t="s">
        <v>31</v>
      </c>
      <c r="D326" s="11">
        <v>149.5</v>
      </c>
      <c r="E326" s="5">
        <v>198.7</v>
      </c>
      <c r="F326" s="5">
        <v>178.8</v>
      </c>
      <c r="G326" s="5">
        <v>160.5</v>
      </c>
      <c r="H326" s="5">
        <v>184.7</v>
      </c>
      <c r="I326" s="5">
        <v>153.69999999999999</v>
      </c>
      <c r="J326" s="5">
        <v>174.3</v>
      </c>
      <c r="K326" s="5">
        <v>163.9</v>
      </c>
      <c r="L326" s="5">
        <v>120</v>
      </c>
      <c r="M326" s="5">
        <v>172.1</v>
      </c>
      <c r="N326" s="5">
        <v>164.3</v>
      </c>
      <c r="O326" s="5">
        <v>177.3</v>
      </c>
      <c r="P326" s="5">
        <v>166.4</v>
      </c>
      <c r="Q326" s="5">
        <v>192.2</v>
      </c>
      <c r="R326" s="5">
        <v>169.9</v>
      </c>
      <c r="S326" s="5">
        <v>160.69999999999999</v>
      </c>
      <c r="T326" s="5">
        <v>168.5</v>
      </c>
      <c r="U326" s="5">
        <v>164.5</v>
      </c>
      <c r="V326" s="5">
        <v>164.2</v>
      </c>
      <c r="W326" s="5">
        <v>161.1</v>
      </c>
      <c r="X326" s="5">
        <v>171.4</v>
      </c>
      <c r="Y326" s="5">
        <v>156.5</v>
      </c>
      <c r="Z326" s="5">
        <v>161.19999999999999</v>
      </c>
      <c r="AA326" s="5">
        <v>164.7</v>
      </c>
      <c r="AB326" s="5">
        <v>163</v>
      </c>
      <c r="AC326" s="5">
        <v>162.69999999999999</v>
      </c>
      <c r="AD326" s="5">
        <v>165.7</v>
      </c>
    </row>
    <row r="327" spans="1:30" x14ac:dyDescent="0.35">
      <c r="A327" s="5" t="s">
        <v>30</v>
      </c>
      <c r="B327" s="5">
        <v>2022</v>
      </c>
      <c r="C327" s="5" t="s">
        <v>35</v>
      </c>
      <c r="D327" s="11">
        <v>148.80000000000001</v>
      </c>
      <c r="E327" s="5">
        <v>198.1</v>
      </c>
      <c r="F327" s="5">
        <v>175.5</v>
      </c>
      <c r="G327" s="5">
        <v>160.69999999999999</v>
      </c>
      <c r="H327" s="5">
        <v>192.6</v>
      </c>
      <c r="I327" s="5">
        <v>151.4</v>
      </c>
      <c r="J327" s="5">
        <v>155.19999999999999</v>
      </c>
      <c r="K327" s="5">
        <v>163.9</v>
      </c>
      <c r="L327" s="5">
        <v>118.1</v>
      </c>
      <c r="M327" s="5">
        <v>175.4</v>
      </c>
      <c r="N327" s="5">
        <v>170.5</v>
      </c>
      <c r="O327" s="5">
        <v>176.3</v>
      </c>
      <c r="P327" s="5">
        <v>163.9</v>
      </c>
      <c r="Q327" s="5">
        <v>191.5</v>
      </c>
      <c r="R327" s="5">
        <v>174.1</v>
      </c>
      <c r="S327" s="5">
        <v>171</v>
      </c>
      <c r="T327" s="5">
        <v>173.7</v>
      </c>
      <c r="U327" s="5" t="s">
        <v>32</v>
      </c>
      <c r="V327" s="5">
        <v>167.4</v>
      </c>
      <c r="W327" s="5">
        <v>165.7</v>
      </c>
      <c r="X327" s="5">
        <v>175.3</v>
      </c>
      <c r="Y327" s="5">
        <v>161.19999999999999</v>
      </c>
      <c r="Z327" s="5">
        <v>165.5</v>
      </c>
      <c r="AA327" s="5">
        <v>170.3</v>
      </c>
      <c r="AB327" s="5">
        <v>164.5</v>
      </c>
      <c r="AC327" s="5">
        <v>167.3</v>
      </c>
      <c r="AD327" s="5">
        <v>166.7</v>
      </c>
    </row>
    <row r="328" spans="1:30" x14ac:dyDescent="0.35">
      <c r="A328" s="5" t="s">
        <v>33</v>
      </c>
      <c r="B328" s="5">
        <v>2022</v>
      </c>
      <c r="C328" s="5" t="s">
        <v>35</v>
      </c>
      <c r="D328" s="11">
        <v>152.5</v>
      </c>
      <c r="E328" s="5">
        <v>205.2</v>
      </c>
      <c r="F328" s="5">
        <v>176.4</v>
      </c>
      <c r="G328" s="5">
        <v>160.6</v>
      </c>
      <c r="H328" s="5">
        <v>171.5</v>
      </c>
      <c r="I328" s="5">
        <v>156.4</v>
      </c>
      <c r="J328" s="5">
        <v>198</v>
      </c>
      <c r="K328" s="5">
        <v>163.19999999999999</v>
      </c>
      <c r="L328" s="5">
        <v>120.6</v>
      </c>
      <c r="M328" s="5">
        <v>172.2</v>
      </c>
      <c r="N328" s="5">
        <v>156.69999999999999</v>
      </c>
      <c r="O328" s="5">
        <v>180</v>
      </c>
      <c r="P328" s="5">
        <v>170.2</v>
      </c>
      <c r="Q328" s="5">
        <v>196.5</v>
      </c>
      <c r="R328" s="5">
        <v>165.7</v>
      </c>
      <c r="S328" s="5">
        <v>150.4</v>
      </c>
      <c r="T328" s="5">
        <v>163.4</v>
      </c>
      <c r="U328" s="5">
        <v>165.5</v>
      </c>
      <c r="V328" s="5">
        <v>163</v>
      </c>
      <c r="W328" s="5">
        <v>157.4</v>
      </c>
      <c r="X328" s="5">
        <v>167.2</v>
      </c>
      <c r="Y328" s="5">
        <v>153.1</v>
      </c>
      <c r="Z328" s="5">
        <v>159.5</v>
      </c>
      <c r="AA328" s="5">
        <v>162</v>
      </c>
      <c r="AB328" s="5">
        <v>164.2</v>
      </c>
      <c r="AC328" s="5">
        <v>159.4</v>
      </c>
      <c r="AD328" s="5">
        <v>165.5</v>
      </c>
    </row>
    <row r="329" spans="1:30" x14ac:dyDescent="0.35">
      <c r="A329" s="5" t="s">
        <v>34</v>
      </c>
      <c r="B329" s="5">
        <v>2022</v>
      </c>
      <c r="C329" s="5" t="s">
        <v>35</v>
      </c>
      <c r="D329" s="11">
        <v>150</v>
      </c>
      <c r="E329" s="5">
        <v>200.6</v>
      </c>
      <c r="F329" s="5">
        <v>175.8</v>
      </c>
      <c r="G329" s="5">
        <v>160.69999999999999</v>
      </c>
      <c r="H329" s="5">
        <v>184.9</v>
      </c>
      <c r="I329" s="5">
        <v>153.69999999999999</v>
      </c>
      <c r="J329" s="5">
        <v>169.7</v>
      </c>
      <c r="K329" s="5">
        <v>163.69999999999999</v>
      </c>
      <c r="L329" s="5">
        <v>118.9</v>
      </c>
      <c r="M329" s="5">
        <v>174.3</v>
      </c>
      <c r="N329" s="5">
        <v>164.7</v>
      </c>
      <c r="O329" s="5">
        <v>178</v>
      </c>
      <c r="P329" s="5">
        <v>166.2</v>
      </c>
      <c r="Q329" s="5">
        <v>192.8</v>
      </c>
      <c r="R329" s="5">
        <v>170.8</v>
      </c>
      <c r="S329" s="5">
        <v>162.4</v>
      </c>
      <c r="T329" s="5">
        <v>169.6</v>
      </c>
      <c r="U329" s="5">
        <v>165.5</v>
      </c>
      <c r="V329" s="5">
        <v>165.7</v>
      </c>
      <c r="W329" s="5">
        <v>161.80000000000001</v>
      </c>
      <c r="X329" s="5">
        <v>172.2</v>
      </c>
      <c r="Y329" s="5">
        <v>156.9</v>
      </c>
      <c r="Z329" s="5">
        <v>162.1</v>
      </c>
      <c r="AA329" s="5">
        <v>165.4</v>
      </c>
      <c r="AB329" s="5">
        <v>164.4</v>
      </c>
      <c r="AC329" s="5">
        <v>163.5</v>
      </c>
      <c r="AD329" s="5">
        <v>166.1</v>
      </c>
    </row>
    <row r="330" spans="1:30" x14ac:dyDescent="0.35">
      <c r="A330" s="5" t="s">
        <v>30</v>
      </c>
      <c r="B330" s="5">
        <v>2022</v>
      </c>
      <c r="C330" s="5" t="s">
        <v>36</v>
      </c>
      <c r="D330" s="11">
        <v>150.19999999999999</v>
      </c>
      <c r="E330" s="5">
        <v>208</v>
      </c>
      <c r="F330" s="5">
        <v>167.9</v>
      </c>
      <c r="G330" s="5">
        <v>162</v>
      </c>
      <c r="H330" s="5">
        <v>203.1</v>
      </c>
      <c r="I330" s="5">
        <v>155.9</v>
      </c>
      <c r="J330" s="5">
        <v>155.80000000000001</v>
      </c>
      <c r="K330" s="5">
        <v>164.2</v>
      </c>
      <c r="L330" s="5">
        <v>118.1</v>
      </c>
      <c r="M330" s="5">
        <v>178.7</v>
      </c>
      <c r="N330" s="5">
        <v>171.2</v>
      </c>
      <c r="O330" s="5">
        <v>177.4</v>
      </c>
      <c r="P330" s="5">
        <v>166.6</v>
      </c>
      <c r="Q330" s="5">
        <v>192.3</v>
      </c>
      <c r="R330" s="5">
        <v>175.4</v>
      </c>
      <c r="S330" s="5">
        <v>173.2</v>
      </c>
      <c r="T330" s="5">
        <v>175.1</v>
      </c>
      <c r="U330" s="5" t="s">
        <v>32</v>
      </c>
      <c r="V330" s="5">
        <v>168.9</v>
      </c>
      <c r="W330" s="5">
        <v>166.5</v>
      </c>
      <c r="X330" s="5">
        <v>176</v>
      </c>
      <c r="Y330" s="5">
        <v>162</v>
      </c>
      <c r="Z330" s="5">
        <v>166.6</v>
      </c>
      <c r="AA330" s="5">
        <v>170.6</v>
      </c>
      <c r="AB330" s="5">
        <v>167.4</v>
      </c>
      <c r="AC330" s="5">
        <v>168.3</v>
      </c>
      <c r="AD330" s="5">
        <v>168.7</v>
      </c>
    </row>
    <row r="331" spans="1:30" x14ac:dyDescent="0.35">
      <c r="A331" s="5" t="s">
        <v>33</v>
      </c>
      <c r="B331" s="5">
        <v>2022</v>
      </c>
      <c r="C331" s="5" t="s">
        <v>36</v>
      </c>
      <c r="D331" s="11">
        <v>153.69999999999999</v>
      </c>
      <c r="E331" s="5">
        <v>215.8</v>
      </c>
      <c r="F331" s="5">
        <v>167.7</v>
      </c>
      <c r="G331" s="5">
        <v>162.6</v>
      </c>
      <c r="H331" s="5">
        <v>180</v>
      </c>
      <c r="I331" s="5">
        <v>159.6</v>
      </c>
      <c r="J331" s="5">
        <v>188.4</v>
      </c>
      <c r="K331" s="5">
        <v>163.4</v>
      </c>
      <c r="L331" s="5">
        <v>120.3</v>
      </c>
      <c r="M331" s="5">
        <v>174.7</v>
      </c>
      <c r="N331" s="5">
        <v>157.1</v>
      </c>
      <c r="O331" s="5">
        <v>181.5</v>
      </c>
      <c r="P331" s="5">
        <v>171.5</v>
      </c>
      <c r="Q331" s="5">
        <v>197.5</v>
      </c>
      <c r="R331" s="5">
        <v>167.1</v>
      </c>
      <c r="S331" s="5">
        <v>152.6</v>
      </c>
      <c r="T331" s="5">
        <v>164.9</v>
      </c>
      <c r="U331" s="5">
        <v>165.3</v>
      </c>
      <c r="V331" s="5">
        <v>164.5</v>
      </c>
      <c r="W331" s="5">
        <v>158.6</v>
      </c>
      <c r="X331" s="5">
        <v>168.2</v>
      </c>
      <c r="Y331" s="5">
        <v>154.19999999999999</v>
      </c>
      <c r="Z331" s="5">
        <v>160.80000000000001</v>
      </c>
      <c r="AA331" s="5">
        <v>162.69999999999999</v>
      </c>
      <c r="AB331" s="5">
        <v>166.8</v>
      </c>
      <c r="AC331" s="5">
        <v>160.6</v>
      </c>
      <c r="AD331" s="5">
        <v>166.5</v>
      </c>
    </row>
    <row r="332" spans="1:30" x14ac:dyDescent="0.35">
      <c r="A332" s="5" t="s">
        <v>34</v>
      </c>
      <c r="B332" s="5">
        <v>2022</v>
      </c>
      <c r="C332" s="5" t="s">
        <v>36</v>
      </c>
      <c r="D332" s="11">
        <v>151.30000000000001</v>
      </c>
      <c r="E332" s="5">
        <v>210.7</v>
      </c>
      <c r="F332" s="5">
        <v>167.8</v>
      </c>
      <c r="G332" s="5">
        <v>162.19999999999999</v>
      </c>
      <c r="H332" s="5">
        <v>194.6</v>
      </c>
      <c r="I332" s="5">
        <v>157.6</v>
      </c>
      <c r="J332" s="5">
        <v>166.9</v>
      </c>
      <c r="K332" s="5">
        <v>163.9</v>
      </c>
      <c r="L332" s="5">
        <v>118.8</v>
      </c>
      <c r="M332" s="5">
        <v>177.4</v>
      </c>
      <c r="N332" s="5">
        <v>165.3</v>
      </c>
      <c r="O332" s="5">
        <v>179.3</v>
      </c>
      <c r="P332" s="5">
        <v>168.4</v>
      </c>
      <c r="Q332" s="5">
        <v>193.7</v>
      </c>
      <c r="R332" s="5">
        <v>172.1</v>
      </c>
      <c r="S332" s="5">
        <v>164.6</v>
      </c>
      <c r="T332" s="5">
        <v>171.1</v>
      </c>
      <c r="U332" s="5">
        <v>165.3</v>
      </c>
      <c r="V332" s="5">
        <v>167.2</v>
      </c>
      <c r="W332" s="5">
        <v>162.80000000000001</v>
      </c>
      <c r="X332" s="5">
        <v>173</v>
      </c>
      <c r="Y332" s="5">
        <v>157.9</v>
      </c>
      <c r="Z332" s="5">
        <v>163.30000000000001</v>
      </c>
      <c r="AA332" s="5">
        <v>166</v>
      </c>
      <c r="AB332" s="5">
        <v>167.2</v>
      </c>
      <c r="AC332" s="5">
        <v>164.6</v>
      </c>
      <c r="AD332" s="5">
        <v>167.7</v>
      </c>
    </row>
    <row r="333" spans="1:30" x14ac:dyDescent="0.35">
      <c r="A333" s="5" t="s">
        <v>30</v>
      </c>
      <c r="B333" s="5">
        <v>2022</v>
      </c>
      <c r="C333" s="5" t="s">
        <v>37</v>
      </c>
      <c r="D333" s="11">
        <v>151.80000000000001</v>
      </c>
      <c r="E333" s="5">
        <v>209.7</v>
      </c>
      <c r="F333" s="5">
        <v>164.5</v>
      </c>
      <c r="G333" s="5">
        <v>163.80000000000001</v>
      </c>
      <c r="H333" s="5">
        <v>207.4</v>
      </c>
      <c r="I333" s="5">
        <v>169.7</v>
      </c>
      <c r="J333" s="5">
        <v>153.6</v>
      </c>
      <c r="K333" s="5">
        <v>165.1</v>
      </c>
      <c r="L333" s="5">
        <v>118.2</v>
      </c>
      <c r="M333" s="5">
        <v>182.9</v>
      </c>
      <c r="N333" s="5">
        <v>172.4</v>
      </c>
      <c r="O333" s="5">
        <v>178.9</v>
      </c>
      <c r="P333" s="5">
        <v>168.6</v>
      </c>
      <c r="Q333" s="5">
        <v>192.8</v>
      </c>
      <c r="R333" s="5">
        <v>177.5</v>
      </c>
      <c r="S333" s="5">
        <v>175.1</v>
      </c>
      <c r="T333" s="5">
        <v>177.1</v>
      </c>
      <c r="U333" s="5" t="s">
        <v>32</v>
      </c>
      <c r="V333" s="5">
        <v>173.3</v>
      </c>
      <c r="W333" s="5">
        <v>167.7</v>
      </c>
      <c r="X333" s="5">
        <v>177</v>
      </c>
      <c r="Y333" s="5">
        <v>166.2</v>
      </c>
      <c r="Z333" s="5">
        <v>167.2</v>
      </c>
      <c r="AA333" s="5">
        <v>170.9</v>
      </c>
      <c r="AB333" s="5">
        <v>169</v>
      </c>
      <c r="AC333" s="5">
        <v>170.2</v>
      </c>
      <c r="AD333" s="5">
        <v>170.8</v>
      </c>
    </row>
    <row r="334" spans="1:30" x14ac:dyDescent="0.35">
      <c r="A334" s="5" t="s">
        <v>33</v>
      </c>
      <c r="B334" s="5">
        <v>2022</v>
      </c>
      <c r="C334" s="5" t="s">
        <v>37</v>
      </c>
      <c r="D334" s="11">
        <v>155.4</v>
      </c>
      <c r="E334" s="5">
        <v>215.8</v>
      </c>
      <c r="F334" s="5">
        <v>164.6</v>
      </c>
      <c r="G334" s="5">
        <v>164.2</v>
      </c>
      <c r="H334" s="5">
        <v>186</v>
      </c>
      <c r="I334" s="5">
        <v>175.9</v>
      </c>
      <c r="J334" s="5">
        <v>190.7</v>
      </c>
      <c r="K334" s="5">
        <v>164</v>
      </c>
      <c r="L334" s="5">
        <v>120.5</v>
      </c>
      <c r="M334" s="5">
        <v>178</v>
      </c>
      <c r="N334" s="5">
        <v>157.5</v>
      </c>
      <c r="O334" s="5">
        <v>183.3</v>
      </c>
      <c r="P334" s="5">
        <v>174.5</v>
      </c>
      <c r="Q334" s="5">
        <v>197.1</v>
      </c>
      <c r="R334" s="5">
        <v>168.4</v>
      </c>
      <c r="S334" s="5">
        <v>154.5</v>
      </c>
      <c r="T334" s="5">
        <v>166.3</v>
      </c>
      <c r="U334" s="5">
        <v>167</v>
      </c>
      <c r="V334" s="5">
        <v>170.5</v>
      </c>
      <c r="W334" s="5">
        <v>159.80000000000001</v>
      </c>
      <c r="X334" s="5">
        <v>169</v>
      </c>
      <c r="Y334" s="5">
        <v>159.30000000000001</v>
      </c>
      <c r="Z334" s="5">
        <v>162.19999999999999</v>
      </c>
      <c r="AA334" s="5">
        <v>164</v>
      </c>
      <c r="AB334" s="5">
        <v>168.4</v>
      </c>
      <c r="AC334" s="5">
        <v>163.1</v>
      </c>
      <c r="AD334" s="5">
        <v>169.2</v>
      </c>
    </row>
    <row r="335" spans="1:30" x14ac:dyDescent="0.35">
      <c r="A335" s="5" t="s">
        <v>34</v>
      </c>
      <c r="B335" s="5">
        <v>2022</v>
      </c>
      <c r="C335" s="5" t="s">
        <v>37</v>
      </c>
      <c r="D335" s="11">
        <v>152.9</v>
      </c>
      <c r="E335" s="5">
        <v>211.8</v>
      </c>
      <c r="F335" s="5">
        <v>164.5</v>
      </c>
      <c r="G335" s="5">
        <v>163.9</v>
      </c>
      <c r="H335" s="5">
        <v>199.5</v>
      </c>
      <c r="I335" s="5">
        <v>172.6</v>
      </c>
      <c r="J335" s="5">
        <v>166.2</v>
      </c>
      <c r="K335" s="5">
        <v>164.7</v>
      </c>
      <c r="L335" s="5">
        <v>119</v>
      </c>
      <c r="M335" s="5">
        <v>181.3</v>
      </c>
      <c r="N335" s="5">
        <v>166.2</v>
      </c>
      <c r="O335" s="5">
        <v>180.9</v>
      </c>
      <c r="P335" s="5">
        <v>170.8</v>
      </c>
      <c r="Q335" s="5">
        <v>193.9</v>
      </c>
      <c r="R335" s="5">
        <v>173.9</v>
      </c>
      <c r="S335" s="5">
        <v>166.5</v>
      </c>
      <c r="T335" s="5">
        <v>172.8</v>
      </c>
      <c r="U335" s="5">
        <v>167</v>
      </c>
      <c r="V335" s="5">
        <v>172.2</v>
      </c>
      <c r="W335" s="5">
        <v>164</v>
      </c>
      <c r="X335" s="5">
        <v>174</v>
      </c>
      <c r="Y335" s="5">
        <v>162.6</v>
      </c>
      <c r="Z335" s="5">
        <v>164.4</v>
      </c>
      <c r="AA335" s="5">
        <v>166.9</v>
      </c>
      <c r="AB335" s="5">
        <v>168.8</v>
      </c>
      <c r="AC335" s="5">
        <v>166.8</v>
      </c>
      <c r="AD335" s="5">
        <v>170.1</v>
      </c>
    </row>
    <row r="336" spans="1:30" x14ac:dyDescent="0.35">
      <c r="A336" s="5" t="s">
        <v>30</v>
      </c>
      <c r="B336" s="5">
        <v>2022</v>
      </c>
      <c r="C336" s="5" t="s">
        <v>38</v>
      </c>
      <c r="D336" s="11">
        <v>152.9</v>
      </c>
      <c r="E336" s="5">
        <v>214.7</v>
      </c>
      <c r="F336" s="5">
        <v>161.4</v>
      </c>
      <c r="G336" s="5">
        <v>164.6</v>
      </c>
      <c r="H336" s="5">
        <v>209.9</v>
      </c>
      <c r="I336" s="5">
        <v>168</v>
      </c>
      <c r="J336" s="5">
        <v>160.4</v>
      </c>
      <c r="K336" s="5">
        <v>165</v>
      </c>
      <c r="L336" s="5">
        <v>118.9</v>
      </c>
      <c r="M336" s="5">
        <v>186.6</v>
      </c>
      <c r="N336" s="5">
        <v>173.2</v>
      </c>
      <c r="O336" s="5">
        <v>180.4</v>
      </c>
      <c r="P336" s="5">
        <v>170.8</v>
      </c>
      <c r="Q336" s="5">
        <v>192.9</v>
      </c>
      <c r="R336" s="5">
        <v>179.3</v>
      </c>
      <c r="S336" s="5">
        <v>177.2</v>
      </c>
      <c r="T336" s="5">
        <v>179</v>
      </c>
      <c r="U336" s="5" t="s">
        <v>32</v>
      </c>
      <c r="V336" s="5">
        <v>175.3</v>
      </c>
      <c r="W336" s="5">
        <v>168.9</v>
      </c>
      <c r="X336" s="5">
        <v>177.7</v>
      </c>
      <c r="Y336" s="5">
        <v>167.1</v>
      </c>
      <c r="Z336" s="5">
        <v>167.6</v>
      </c>
      <c r="AA336" s="5">
        <v>171.8</v>
      </c>
      <c r="AB336" s="5">
        <v>168.5</v>
      </c>
      <c r="AC336" s="5">
        <v>170.9</v>
      </c>
      <c r="AD336" s="5">
        <v>172.5</v>
      </c>
    </row>
    <row r="337" spans="1:30" x14ac:dyDescent="0.35">
      <c r="A337" s="5" t="s">
        <v>33</v>
      </c>
      <c r="B337" s="5">
        <v>2022</v>
      </c>
      <c r="C337" s="5" t="s">
        <v>38</v>
      </c>
      <c r="D337" s="11">
        <v>156.69999999999999</v>
      </c>
      <c r="E337" s="5">
        <v>221.2</v>
      </c>
      <c r="F337" s="5">
        <v>164.1</v>
      </c>
      <c r="G337" s="5">
        <v>165.4</v>
      </c>
      <c r="H337" s="5">
        <v>189.5</v>
      </c>
      <c r="I337" s="5">
        <v>174.5</v>
      </c>
      <c r="J337" s="5">
        <v>203.2</v>
      </c>
      <c r="K337" s="5">
        <v>164.1</v>
      </c>
      <c r="L337" s="5">
        <v>121.2</v>
      </c>
      <c r="M337" s="5">
        <v>181.4</v>
      </c>
      <c r="N337" s="5">
        <v>158.5</v>
      </c>
      <c r="O337" s="5">
        <v>184.9</v>
      </c>
      <c r="P337" s="5">
        <v>177.5</v>
      </c>
      <c r="Q337" s="5">
        <v>197.5</v>
      </c>
      <c r="R337" s="5">
        <v>170</v>
      </c>
      <c r="S337" s="5">
        <v>155.9</v>
      </c>
      <c r="T337" s="5">
        <v>167.8</v>
      </c>
      <c r="U337" s="5">
        <v>167.5</v>
      </c>
      <c r="V337" s="5">
        <v>173.5</v>
      </c>
      <c r="W337" s="5">
        <v>161.1</v>
      </c>
      <c r="X337" s="5">
        <v>170.1</v>
      </c>
      <c r="Y337" s="5">
        <v>159.4</v>
      </c>
      <c r="Z337" s="5">
        <v>163.19999999999999</v>
      </c>
      <c r="AA337" s="5">
        <v>165.2</v>
      </c>
      <c r="AB337" s="5">
        <v>168.2</v>
      </c>
      <c r="AC337" s="5">
        <v>163.80000000000001</v>
      </c>
      <c r="AD337" s="5">
        <v>170.8</v>
      </c>
    </row>
    <row r="338" spans="1:30" x14ac:dyDescent="0.35">
      <c r="A338" s="5" t="s">
        <v>34</v>
      </c>
      <c r="B338" s="5">
        <v>2022</v>
      </c>
      <c r="C338" s="5" t="s">
        <v>38</v>
      </c>
      <c r="D338" s="11">
        <v>154.1</v>
      </c>
      <c r="E338" s="5">
        <v>217</v>
      </c>
      <c r="F338" s="5">
        <v>162.4</v>
      </c>
      <c r="G338" s="5">
        <v>164.9</v>
      </c>
      <c r="H338" s="5">
        <v>202.4</v>
      </c>
      <c r="I338" s="5">
        <v>171</v>
      </c>
      <c r="J338" s="5">
        <v>174.9</v>
      </c>
      <c r="K338" s="5">
        <v>164.7</v>
      </c>
      <c r="L338" s="5">
        <v>119.7</v>
      </c>
      <c r="M338" s="5">
        <v>184.9</v>
      </c>
      <c r="N338" s="5">
        <v>167.1</v>
      </c>
      <c r="O338" s="5">
        <v>182.5</v>
      </c>
      <c r="P338" s="5">
        <v>173.3</v>
      </c>
      <c r="Q338" s="5">
        <v>194.1</v>
      </c>
      <c r="R338" s="5">
        <v>175.6</v>
      </c>
      <c r="S338" s="5">
        <v>168.4</v>
      </c>
      <c r="T338" s="5">
        <v>174.6</v>
      </c>
      <c r="U338" s="5">
        <v>167.5</v>
      </c>
      <c r="V338" s="5">
        <v>174.6</v>
      </c>
      <c r="W338" s="5">
        <v>165.2</v>
      </c>
      <c r="X338" s="5">
        <v>174.8</v>
      </c>
      <c r="Y338" s="5">
        <v>163</v>
      </c>
      <c r="Z338" s="5">
        <v>165.1</v>
      </c>
      <c r="AA338" s="5">
        <v>167.9</v>
      </c>
      <c r="AB338" s="5">
        <v>168.4</v>
      </c>
      <c r="AC338" s="5">
        <v>167.5</v>
      </c>
      <c r="AD338" s="5">
        <v>171.7</v>
      </c>
    </row>
    <row r="339" spans="1:30" x14ac:dyDescent="0.35">
      <c r="A339" s="5" t="s">
        <v>30</v>
      </c>
      <c r="B339" s="5">
        <v>2022</v>
      </c>
      <c r="C339" s="5" t="s">
        <v>39</v>
      </c>
      <c r="D339" s="11">
        <v>153.80000000000001</v>
      </c>
      <c r="E339" s="5">
        <v>217.2</v>
      </c>
      <c r="F339" s="5">
        <v>169.6</v>
      </c>
      <c r="G339" s="5">
        <v>165.4</v>
      </c>
      <c r="H339" s="5">
        <v>208.1</v>
      </c>
      <c r="I339" s="5">
        <v>165.8</v>
      </c>
      <c r="J339" s="5">
        <v>167.3</v>
      </c>
      <c r="K339" s="5">
        <v>164.6</v>
      </c>
      <c r="L339" s="5">
        <v>119.1</v>
      </c>
      <c r="M339" s="5">
        <v>188.9</v>
      </c>
      <c r="N339" s="5">
        <v>174.2</v>
      </c>
      <c r="O339" s="5">
        <v>181.9</v>
      </c>
      <c r="P339" s="5">
        <v>172.4</v>
      </c>
      <c r="Q339" s="5">
        <v>192.9</v>
      </c>
      <c r="R339" s="5">
        <v>180.7</v>
      </c>
      <c r="S339" s="5">
        <v>178.7</v>
      </c>
      <c r="T339" s="5">
        <v>180.4</v>
      </c>
      <c r="U339" s="5" t="s">
        <v>32</v>
      </c>
      <c r="V339" s="5">
        <v>176.7</v>
      </c>
      <c r="W339" s="5">
        <v>170.3</v>
      </c>
      <c r="X339" s="5">
        <v>178.2</v>
      </c>
      <c r="Y339" s="5">
        <v>165.5</v>
      </c>
      <c r="Z339" s="5">
        <v>168</v>
      </c>
      <c r="AA339" s="5">
        <v>172.6</v>
      </c>
      <c r="AB339" s="5">
        <v>169.5</v>
      </c>
      <c r="AC339" s="5">
        <v>171</v>
      </c>
      <c r="AD339" s="5">
        <v>173.6</v>
      </c>
    </row>
    <row r="340" spans="1:30" x14ac:dyDescent="0.35">
      <c r="A340" s="5" t="s">
        <v>33</v>
      </c>
      <c r="B340" s="5">
        <v>2022</v>
      </c>
      <c r="C340" s="5" t="s">
        <v>39</v>
      </c>
      <c r="D340" s="11">
        <v>157.5</v>
      </c>
      <c r="E340" s="5">
        <v>223.4</v>
      </c>
      <c r="F340" s="5">
        <v>172.8</v>
      </c>
      <c r="G340" s="5">
        <v>166.4</v>
      </c>
      <c r="H340" s="5">
        <v>188.6</v>
      </c>
      <c r="I340" s="5">
        <v>174.1</v>
      </c>
      <c r="J340" s="5">
        <v>211.5</v>
      </c>
      <c r="K340" s="5">
        <v>163.6</v>
      </c>
      <c r="L340" s="5">
        <v>121.4</v>
      </c>
      <c r="M340" s="5">
        <v>183.5</v>
      </c>
      <c r="N340" s="5">
        <v>159.1</v>
      </c>
      <c r="O340" s="5">
        <v>186.3</v>
      </c>
      <c r="P340" s="5">
        <v>179.3</v>
      </c>
      <c r="Q340" s="5">
        <v>198.3</v>
      </c>
      <c r="R340" s="5">
        <v>171.6</v>
      </c>
      <c r="S340" s="5">
        <v>157.4</v>
      </c>
      <c r="T340" s="5">
        <v>169.4</v>
      </c>
      <c r="U340" s="5">
        <v>166.8</v>
      </c>
      <c r="V340" s="5">
        <v>174.9</v>
      </c>
      <c r="W340" s="5">
        <v>162.1</v>
      </c>
      <c r="X340" s="5">
        <v>170.9</v>
      </c>
      <c r="Y340" s="5">
        <v>157.19999999999999</v>
      </c>
      <c r="Z340" s="5">
        <v>164.1</v>
      </c>
      <c r="AA340" s="5">
        <v>166.5</v>
      </c>
      <c r="AB340" s="5">
        <v>169.2</v>
      </c>
      <c r="AC340" s="5">
        <v>163.80000000000001</v>
      </c>
      <c r="AD340" s="5">
        <v>171.4</v>
      </c>
    </row>
    <row r="341" spans="1:30" x14ac:dyDescent="0.35">
      <c r="A341" s="5" t="s">
        <v>34</v>
      </c>
      <c r="B341" s="5">
        <v>2022</v>
      </c>
      <c r="C341" s="5" t="s">
        <v>39</v>
      </c>
      <c r="D341" s="11">
        <v>155</v>
      </c>
      <c r="E341" s="5">
        <v>219.4</v>
      </c>
      <c r="F341" s="5">
        <v>170.8</v>
      </c>
      <c r="G341" s="5">
        <v>165.8</v>
      </c>
      <c r="H341" s="5">
        <v>200.9</v>
      </c>
      <c r="I341" s="5">
        <v>169.7</v>
      </c>
      <c r="J341" s="5">
        <v>182.3</v>
      </c>
      <c r="K341" s="5">
        <v>164.3</v>
      </c>
      <c r="L341" s="5">
        <v>119.9</v>
      </c>
      <c r="M341" s="5">
        <v>187.1</v>
      </c>
      <c r="N341" s="5">
        <v>167.9</v>
      </c>
      <c r="O341" s="5">
        <v>183.9</v>
      </c>
      <c r="P341" s="5">
        <v>174.9</v>
      </c>
      <c r="Q341" s="5">
        <v>194.3</v>
      </c>
      <c r="R341" s="5">
        <v>177.1</v>
      </c>
      <c r="S341" s="5">
        <v>169.9</v>
      </c>
      <c r="T341" s="5">
        <v>176</v>
      </c>
      <c r="U341" s="5">
        <v>166.8</v>
      </c>
      <c r="V341" s="5">
        <v>176</v>
      </c>
      <c r="W341" s="5">
        <v>166.4</v>
      </c>
      <c r="X341" s="5">
        <v>175.4</v>
      </c>
      <c r="Y341" s="5">
        <v>161.1</v>
      </c>
      <c r="Z341" s="5">
        <v>165.8</v>
      </c>
      <c r="AA341" s="5">
        <v>169</v>
      </c>
      <c r="AB341" s="5">
        <v>169.4</v>
      </c>
      <c r="AC341" s="5">
        <v>167.5</v>
      </c>
      <c r="AD341" s="5">
        <v>172.6</v>
      </c>
    </row>
    <row r="342" spans="1:30" x14ac:dyDescent="0.35">
      <c r="A342" s="5" t="s">
        <v>30</v>
      </c>
      <c r="B342" s="5">
        <v>2022</v>
      </c>
      <c r="C342" s="5" t="s">
        <v>40</v>
      </c>
      <c r="D342" s="11">
        <v>155.19999999999999</v>
      </c>
      <c r="E342" s="5">
        <v>210.8</v>
      </c>
      <c r="F342" s="5">
        <v>174.3</v>
      </c>
      <c r="G342" s="5">
        <v>166.3</v>
      </c>
      <c r="H342" s="5">
        <v>202.2</v>
      </c>
      <c r="I342" s="5">
        <v>169.6</v>
      </c>
      <c r="J342" s="5">
        <v>168.6</v>
      </c>
      <c r="K342" s="5">
        <v>164.4</v>
      </c>
      <c r="L342" s="5">
        <v>119.2</v>
      </c>
      <c r="M342" s="5">
        <v>191.8</v>
      </c>
      <c r="N342" s="5">
        <v>174.5</v>
      </c>
      <c r="O342" s="5">
        <v>183.1</v>
      </c>
      <c r="P342" s="5">
        <v>172.5</v>
      </c>
      <c r="Q342" s="5">
        <v>193.2</v>
      </c>
      <c r="R342" s="5">
        <v>182</v>
      </c>
      <c r="S342" s="5">
        <v>180.3</v>
      </c>
      <c r="T342" s="5">
        <v>181.7</v>
      </c>
      <c r="U342" s="5" t="s">
        <v>32</v>
      </c>
      <c r="V342" s="5">
        <v>179.6</v>
      </c>
      <c r="W342" s="5">
        <v>171.3</v>
      </c>
      <c r="X342" s="5">
        <v>178.8</v>
      </c>
      <c r="Y342" s="5">
        <v>166.3</v>
      </c>
      <c r="Z342" s="5">
        <v>168.6</v>
      </c>
      <c r="AA342" s="5">
        <v>174.7</v>
      </c>
      <c r="AB342" s="5">
        <v>169.7</v>
      </c>
      <c r="AC342" s="5">
        <v>171.8</v>
      </c>
      <c r="AD342" s="5">
        <v>174.3</v>
      </c>
    </row>
    <row r="343" spans="1:30" x14ac:dyDescent="0.35">
      <c r="A343" s="5" t="s">
        <v>33</v>
      </c>
      <c r="B343" s="5">
        <v>2022</v>
      </c>
      <c r="C343" s="5" t="s">
        <v>40</v>
      </c>
      <c r="D343" s="11">
        <v>159.30000000000001</v>
      </c>
      <c r="E343" s="5">
        <v>217.1</v>
      </c>
      <c r="F343" s="5">
        <v>176.6</v>
      </c>
      <c r="G343" s="5">
        <v>167.1</v>
      </c>
      <c r="H343" s="5">
        <v>184.8</v>
      </c>
      <c r="I343" s="5">
        <v>179.5</v>
      </c>
      <c r="J343" s="5">
        <v>208.5</v>
      </c>
      <c r="K343" s="5">
        <v>164</v>
      </c>
      <c r="L343" s="5">
        <v>121.5</v>
      </c>
      <c r="M343" s="5">
        <v>186.3</v>
      </c>
      <c r="N343" s="5">
        <v>159.80000000000001</v>
      </c>
      <c r="O343" s="5">
        <v>187.7</v>
      </c>
      <c r="P343" s="5">
        <v>179.4</v>
      </c>
      <c r="Q343" s="5">
        <v>198.6</v>
      </c>
      <c r="R343" s="5">
        <v>172.7</v>
      </c>
      <c r="S343" s="5">
        <v>158.69999999999999</v>
      </c>
      <c r="T343" s="5">
        <v>170.6</v>
      </c>
      <c r="U343" s="5">
        <v>167.8</v>
      </c>
      <c r="V343" s="5">
        <v>179.5</v>
      </c>
      <c r="W343" s="5">
        <v>163.1</v>
      </c>
      <c r="X343" s="5">
        <v>171.7</v>
      </c>
      <c r="Y343" s="5">
        <v>157.4</v>
      </c>
      <c r="Z343" s="5">
        <v>164.6</v>
      </c>
      <c r="AA343" s="5">
        <v>169.1</v>
      </c>
      <c r="AB343" s="5">
        <v>169.8</v>
      </c>
      <c r="AC343" s="5">
        <v>164.7</v>
      </c>
      <c r="AD343" s="5">
        <v>172.3</v>
      </c>
    </row>
    <row r="344" spans="1:30" x14ac:dyDescent="0.35">
      <c r="A344" s="5" t="s">
        <v>34</v>
      </c>
      <c r="B344" s="5">
        <v>2022</v>
      </c>
      <c r="C344" s="5" t="s">
        <v>40</v>
      </c>
      <c r="D344" s="11">
        <v>156.5</v>
      </c>
      <c r="E344" s="5">
        <v>213</v>
      </c>
      <c r="F344" s="5">
        <v>175.2</v>
      </c>
      <c r="G344" s="5">
        <v>166.6</v>
      </c>
      <c r="H344" s="5">
        <v>195.8</v>
      </c>
      <c r="I344" s="5">
        <v>174.2</v>
      </c>
      <c r="J344" s="5">
        <v>182.1</v>
      </c>
      <c r="K344" s="5">
        <v>164.3</v>
      </c>
      <c r="L344" s="5">
        <v>120</v>
      </c>
      <c r="M344" s="5">
        <v>190</v>
      </c>
      <c r="N344" s="5">
        <v>168.4</v>
      </c>
      <c r="O344" s="5">
        <v>185.2</v>
      </c>
      <c r="P344" s="5">
        <v>175</v>
      </c>
      <c r="Q344" s="5">
        <v>194.6</v>
      </c>
      <c r="R344" s="5">
        <v>178.3</v>
      </c>
      <c r="S344" s="5">
        <v>171.3</v>
      </c>
      <c r="T344" s="5">
        <v>177.3</v>
      </c>
      <c r="U344" s="5">
        <v>167.8</v>
      </c>
      <c r="V344" s="5">
        <v>179.6</v>
      </c>
      <c r="W344" s="5">
        <v>167.4</v>
      </c>
      <c r="X344" s="5">
        <v>176.1</v>
      </c>
      <c r="Y344" s="5">
        <v>161.6</v>
      </c>
      <c r="Z344" s="5">
        <v>166.3</v>
      </c>
      <c r="AA344" s="5">
        <v>171.4</v>
      </c>
      <c r="AB344" s="5">
        <v>169.7</v>
      </c>
      <c r="AC344" s="5">
        <v>168.4</v>
      </c>
      <c r="AD344" s="5">
        <v>173.4</v>
      </c>
    </row>
    <row r="345" spans="1:30" x14ac:dyDescent="0.35">
      <c r="A345" s="5" t="s">
        <v>30</v>
      </c>
      <c r="B345" s="5">
        <v>2022</v>
      </c>
      <c r="C345" s="5" t="s">
        <v>41</v>
      </c>
      <c r="D345" s="11">
        <v>159.5</v>
      </c>
      <c r="E345" s="5">
        <v>204.1</v>
      </c>
      <c r="F345" s="5">
        <v>168.3</v>
      </c>
      <c r="G345" s="5">
        <v>167.9</v>
      </c>
      <c r="H345" s="5">
        <v>198.1</v>
      </c>
      <c r="I345" s="5">
        <v>169.2</v>
      </c>
      <c r="J345" s="5">
        <v>173.1</v>
      </c>
      <c r="K345" s="5">
        <v>167.1</v>
      </c>
      <c r="L345" s="5">
        <v>120.2</v>
      </c>
      <c r="M345" s="5">
        <v>195.6</v>
      </c>
      <c r="N345" s="5">
        <v>174.8</v>
      </c>
      <c r="O345" s="5">
        <v>184</v>
      </c>
      <c r="P345" s="5">
        <v>173.9</v>
      </c>
      <c r="Q345" s="5">
        <v>193.7</v>
      </c>
      <c r="R345" s="5">
        <v>183.2</v>
      </c>
      <c r="S345" s="5">
        <v>181.7</v>
      </c>
      <c r="T345" s="5">
        <v>183</v>
      </c>
      <c r="U345" s="5" t="s">
        <v>32</v>
      </c>
      <c r="V345" s="5">
        <v>179.1</v>
      </c>
      <c r="W345" s="5">
        <v>172.3</v>
      </c>
      <c r="X345" s="5">
        <v>179.4</v>
      </c>
      <c r="Y345" s="5">
        <v>166.6</v>
      </c>
      <c r="Z345" s="5">
        <v>169.3</v>
      </c>
      <c r="AA345" s="5">
        <v>175.7</v>
      </c>
      <c r="AB345" s="5">
        <v>171.1</v>
      </c>
      <c r="AC345" s="5">
        <v>172.6</v>
      </c>
      <c r="AD345" s="5">
        <v>175.3</v>
      </c>
    </row>
    <row r="346" spans="1:30" x14ac:dyDescent="0.35">
      <c r="A346" s="5" t="s">
        <v>33</v>
      </c>
      <c r="B346" s="5">
        <v>2022</v>
      </c>
      <c r="C346" s="5" t="s">
        <v>41</v>
      </c>
      <c r="D346" s="11">
        <v>162.1</v>
      </c>
      <c r="E346" s="5">
        <v>210.9</v>
      </c>
      <c r="F346" s="5">
        <v>170.6</v>
      </c>
      <c r="G346" s="5">
        <v>168.4</v>
      </c>
      <c r="H346" s="5">
        <v>182.5</v>
      </c>
      <c r="I346" s="5">
        <v>177.1</v>
      </c>
      <c r="J346" s="5">
        <v>213.1</v>
      </c>
      <c r="K346" s="5">
        <v>167.3</v>
      </c>
      <c r="L346" s="5">
        <v>122.2</v>
      </c>
      <c r="M346" s="5">
        <v>189.7</v>
      </c>
      <c r="N346" s="5">
        <v>160.5</v>
      </c>
      <c r="O346" s="5">
        <v>188.9</v>
      </c>
      <c r="P346" s="5">
        <v>180.4</v>
      </c>
      <c r="Q346" s="5">
        <v>198.7</v>
      </c>
      <c r="R346" s="5">
        <v>173.7</v>
      </c>
      <c r="S346" s="5">
        <v>160</v>
      </c>
      <c r="T346" s="5">
        <v>171.6</v>
      </c>
      <c r="U346" s="5">
        <v>169</v>
      </c>
      <c r="V346" s="5">
        <v>178.4</v>
      </c>
      <c r="W346" s="5">
        <v>164.2</v>
      </c>
      <c r="X346" s="5">
        <v>172.6</v>
      </c>
      <c r="Y346" s="5">
        <v>157.69999999999999</v>
      </c>
      <c r="Z346" s="5">
        <v>165.1</v>
      </c>
      <c r="AA346" s="5">
        <v>169.9</v>
      </c>
      <c r="AB346" s="5">
        <v>171.4</v>
      </c>
      <c r="AC346" s="5">
        <v>165.4</v>
      </c>
      <c r="AD346" s="5">
        <v>173.1</v>
      </c>
    </row>
    <row r="347" spans="1:30" x14ac:dyDescent="0.35">
      <c r="A347" s="5" t="s">
        <v>34</v>
      </c>
      <c r="B347" s="5">
        <v>2022</v>
      </c>
      <c r="C347" s="5" t="s">
        <v>41</v>
      </c>
      <c r="D347" s="11">
        <v>160.30000000000001</v>
      </c>
      <c r="E347" s="5">
        <v>206.5</v>
      </c>
      <c r="F347" s="5">
        <v>169.2</v>
      </c>
      <c r="G347" s="5">
        <v>168.1</v>
      </c>
      <c r="H347" s="5">
        <v>192.4</v>
      </c>
      <c r="I347" s="5">
        <v>172.9</v>
      </c>
      <c r="J347" s="5">
        <v>186.7</v>
      </c>
      <c r="K347" s="5">
        <v>167.2</v>
      </c>
      <c r="L347" s="5">
        <v>120.9</v>
      </c>
      <c r="M347" s="5">
        <v>193.6</v>
      </c>
      <c r="N347" s="5">
        <v>168.8</v>
      </c>
      <c r="O347" s="5">
        <v>186.3</v>
      </c>
      <c r="P347" s="5">
        <v>176.3</v>
      </c>
      <c r="Q347" s="5">
        <v>195</v>
      </c>
      <c r="R347" s="5">
        <v>179.5</v>
      </c>
      <c r="S347" s="5">
        <v>172.7</v>
      </c>
      <c r="T347" s="5">
        <v>178.5</v>
      </c>
      <c r="U347" s="5">
        <v>169</v>
      </c>
      <c r="V347" s="5">
        <v>178.8</v>
      </c>
      <c r="W347" s="5">
        <v>168.5</v>
      </c>
      <c r="X347" s="5">
        <v>176.8</v>
      </c>
      <c r="Y347" s="5">
        <v>161.9</v>
      </c>
      <c r="Z347" s="5">
        <v>166.9</v>
      </c>
      <c r="AA347" s="5">
        <v>172.3</v>
      </c>
      <c r="AB347" s="5">
        <v>171.2</v>
      </c>
      <c r="AC347" s="5">
        <v>169.1</v>
      </c>
      <c r="AD347" s="5">
        <v>174.3</v>
      </c>
    </row>
    <row r="348" spans="1:30" x14ac:dyDescent="0.35">
      <c r="A348" s="5" t="s">
        <v>30</v>
      </c>
      <c r="B348" s="5">
        <v>2022</v>
      </c>
      <c r="C348" s="5" t="s">
        <v>42</v>
      </c>
      <c r="D348" s="11">
        <v>162.9</v>
      </c>
      <c r="E348" s="5">
        <v>206.7</v>
      </c>
      <c r="F348" s="5">
        <v>169</v>
      </c>
      <c r="G348" s="5">
        <v>169.5</v>
      </c>
      <c r="H348" s="5">
        <v>194.1</v>
      </c>
      <c r="I348" s="5">
        <v>164.1</v>
      </c>
      <c r="J348" s="5">
        <v>176.9</v>
      </c>
      <c r="K348" s="5">
        <v>169</v>
      </c>
      <c r="L348" s="5">
        <v>120.8</v>
      </c>
      <c r="M348" s="5">
        <v>199.1</v>
      </c>
      <c r="N348" s="5">
        <v>175.4</v>
      </c>
      <c r="O348" s="5">
        <v>184.8</v>
      </c>
      <c r="P348" s="5">
        <v>175.5</v>
      </c>
      <c r="Q348" s="5">
        <v>194.5</v>
      </c>
      <c r="R348" s="5">
        <v>184.7</v>
      </c>
      <c r="S348" s="5">
        <v>183.3</v>
      </c>
      <c r="T348" s="5">
        <v>184.5</v>
      </c>
      <c r="U348" s="5" t="s">
        <v>32</v>
      </c>
      <c r="V348" s="5">
        <v>179.7</v>
      </c>
      <c r="W348" s="5">
        <v>173.6</v>
      </c>
      <c r="X348" s="5">
        <v>180.2</v>
      </c>
      <c r="Y348" s="5">
        <v>166.9</v>
      </c>
      <c r="Z348" s="5">
        <v>170</v>
      </c>
      <c r="AA348" s="5">
        <v>176.2</v>
      </c>
      <c r="AB348" s="5">
        <v>170.8</v>
      </c>
      <c r="AC348" s="5">
        <v>173.1</v>
      </c>
      <c r="AD348" s="5">
        <v>176.4</v>
      </c>
    </row>
    <row r="349" spans="1:30" x14ac:dyDescent="0.35">
      <c r="A349" s="5" t="s">
        <v>33</v>
      </c>
      <c r="B349" s="5">
        <v>2022</v>
      </c>
      <c r="C349" s="5" t="s">
        <v>42</v>
      </c>
      <c r="D349" s="11">
        <v>164.9</v>
      </c>
      <c r="E349" s="5">
        <v>213.7</v>
      </c>
      <c r="F349" s="5">
        <v>170.9</v>
      </c>
      <c r="G349" s="5">
        <v>170.1</v>
      </c>
      <c r="H349" s="5">
        <v>179.3</v>
      </c>
      <c r="I349" s="5">
        <v>167.5</v>
      </c>
      <c r="J349" s="5">
        <v>220.8</v>
      </c>
      <c r="K349" s="5">
        <v>169.2</v>
      </c>
      <c r="L349" s="5">
        <v>123.1</v>
      </c>
      <c r="M349" s="5">
        <v>193.6</v>
      </c>
      <c r="N349" s="5">
        <v>161.1</v>
      </c>
      <c r="O349" s="5">
        <v>190.4</v>
      </c>
      <c r="P349" s="5">
        <v>181.8</v>
      </c>
      <c r="Q349" s="5">
        <v>199.7</v>
      </c>
      <c r="R349" s="5">
        <v>175</v>
      </c>
      <c r="S349" s="5">
        <v>161.69999999999999</v>
      </c>
      <c r="T349" s="5">
        <v>173</v>
      </c>
      <c r="U349" s="5">
        <v>169.5</v>
      </c>
      <c r="V349" s="5">
        <v>179.2</v>
      </c>
      <c r="W349" s="5">
        <v>165</v>
      </c>
      <c r="X349" s="5">
        <v>173.8</v>
      </c>
      <c r="Y349" s="5">
        <v>158.19999999999999</v>
      </c>
      <c r="Z349" s="5">
        <v>165.8</v>
      </c>
      <c r="AA349" s="5">
        <v>170.9</v>
      </c>
      <c r="AB349" s="5">
        <v>171.1</v>
      </c>
      <c r="AC349" s="5">
        <v>166.1</v>
      </c>
      <c r="AD349" s="5">
        <v>174.1</v>
      </c>
    </row>
    <row r="350" spans="1:30" x14ac:dyDescent="0.35">
      <c r="A350" s="5" t="s">
        <v>34</v>
      </c>
      <c r="B350" s="5">
        <v>2022</v>
      </c>
      <c r="C350" s="5" t="s">
        <v>42</v>
      </c>
      <c r="D350" s="11">
        <v>163.5</v>
      </c>
      <c r="E350" s="5">
        <v>209.2</v>
      </c>
      <c r="F350" s="5">
        <v>169.7</v>
      </c>
      <c r="G350" s="5">
        <v>169.7</v>
      </c>
      <c r="H350" s="5">
        <v>188.7</v>
      </c>
      <c r="I350" s="5">
        <v>165.7</v>
      </c>
      <c r="J350" s="5">
        <v>191.8</v>
      </c>
      <c r="K350" s="5">
        <v>169.1</v>
      </c>
      <c r="L350" s="5">
        <v>121.6</v>
      </c>
      <c r="M350" s="5">
        <v>197.3</v>
      </c>
      <c r="N350" s="5">
        <v>169.4</v>
      </c>
      <c r="O350" s="5">
        <v>187.4</v>
      </c>
      <c r="P350" s="5">
        <v>177.8</v>
      </c>
      <c r="Q350" s="5">
        <v>195.9</v>
      </c>
      <c r="R350" s="5">
        <v>180.9</v>
      </c>
      <c r="S350" s="5">
        <v>174.3</v>
      </c>
      <c r="T350" s="5">
        <v>179.9</v>
      </c>
      <c r="U350" s="5">
        <v>169.5</v>
      </c>
      <c r="V350" s="5">
        <v>179.5</v>
      </c>
      <c r="W350" s="5">
        <v>169.5</v>
      </c>
      <c r="X350" s="5">
        <v>177.8</v>
      </c>
      <c r="Y350" s="5">
        <v>162.30000000000001</v>
      </c>
      <c r="Z350" s="5">
        <v>167.6</v>
      </c>
      <c r="AA350" s="5">
        <v>173.1</v>
      </c>
      <c r="AB350" s="5">
        <v>170.9</v>
      </c>
      <c r="AC350" s="5">
        <v>169.7</v>
      </c>
      <c r="AD350" s="5">
        <v>175.3</v>
      </c>
    </row>
    <row r="351" spans="1:30" x14ac:dyDescent="0.35">
      <c r="A351" s="5" t="s">
        <v>30</v>
      </c>
      <c r="B351" s="5">
        <v>2022</v>
      </c>
      <c r="C351" s="5" t="s">
        <v>43</v>
      </c>
      <c r="D351" s="11">
        <v>164.7</v>
      </c>
      <c r="E351" s="5">
        <v>208.8</v>
      </c>
      <c r="F351" s="5">
        <v>170.3</v>
      </c>
      <c r="G351" s="5">
        <v>170.9</v>
      </c>
      <c r="H351" s="5">
        <v>191.6</v>
      </c>
      <c r="I351" s="5">
        <v>162.19999999999999</v>
      </c>
      <c r="J351" s="5">
        <v>184.8</v>
      </c>
      <c r="K351" s="5">
        <v>169.7</v>
      </c>
      <c r="L351" s="5">
        <v>121.1</v>
      </c>
      <c r="M351" s="5">
        <v>201.6</v>
      </c>
      <c r="N351" s="5">
        <v>175.8</v>
      </c>
      <c r="O351" s="5">
        <v>185.6</v>
      </c>
      <c r="P351" s="5">
        <v>177.4</v>
      </c>
      <c r="Q351" s="5">
        <v>194.9</v>
      </c>
      <c r="R351" s="5">
        <v>186.1</v>
      </c>
      <c r="S351" s="5">
        <v>184.4</v>
      </c>
      <c r="T351" s="5">
        <v>185.9</v>
      </c>
      <c r="U351" s="5" t="s">
        <v>32</v>
      </c>
      <c r="V351" s="5">
        <v>180.8</v>
      </c>
      <c r="W351" s="5">
        <v>174.4</v>
      </c>
      <c r="X351" s="5">
        <v>181.2</v>
      </c>
      <c r="Y351" s="5">
        <v>167.4</v>
      </c>
      <c r="Z351" s="5">
        <v>170.6</v>
      </c>
      <c r="AA351" s="5">
        <v>176.5</v>
      </c>
      <c r="AB351" s="5">
        <v>172</v>
      </c>
      <c r="AC351" s="5">
        <v>173.9</v>
      </c>
      <c r="AD351" s="5">
        <v>177.9</v>
      </c>
    </row>
    <row r="352" spans="1:30" x14ac:dyDescent="0.35">
      <c r="A352" s="5" t="s">
        <v>33</v>
      </c>
      <c r="B352" s="5">
        <v>2022</v>
      </c>
      <c r="C352" s="5" t="s">
        <v>43</v>
      </c>
      <c r="D352" s="11">
        <v>166.4</v>
      </c>
      <c r="E352" s="5">
        <v>214.9</v>
      </c>
      <c r="F352" s="5">
        <v>171.9</v>
      </c>
      <c r="G352" s="5">
        <v>171</v>
      </c>
      <c r="H352" s="5">
        <v>177.7</v>
      </c>
      <c r="I352" s="5">
        <v>165.7</v>
      </c>
      <c r="J352" s="5">
        <v>228.6</v>
      </c>
      <c r="K352" s="5">
        <v>169.9</v>
      </c>
      <c r="L352" s="5">
        <v>123.4</v>
      </c>
      <c r="M352" s="5">
        <v>196.4</v>
      </c>
      <c r="N352" s="5">
        <v>161.6</v>
      </c>
      <c r="O352" s="5">
        <v>191.5</v>
      </c>
      <c r="P352" s="5">
        <v>183.3</v>
      </c>
      <c r="Q352" s="5">
        <v>200.1</v>
      </c>
      <c r="R352" s="5">
        <v>175.5</v>
      </c>
      <c r="S352" s="5">
        <v>162.6</v>
      </c>
      <c r="T352" s="5">
        <v>173.6</v>
      </c>
      <c r="U352" s="5">
        <v>171.2</v>
      </c>
      <c r="V352" s="5">
        <v>180</v>
      </c>
      <c r="W352" s="5">
        <v>166</v>
      </c>
      <c r="X352" s="5">
        <v>174.7</v>
      </c>
      <c r="Y352" s="5">
        <v>158.80000000000001</v>
      </c>
      <c r="Z352" s="5">
        <v>166.3</v>
      </c>
      <c r="AA352" s="5">
        <v>171.2</v>
      </c>
      <c r="AB352" s="5">
        <v>172.3</v>
      </c>
      <c r="AC352" s="5">
        <v>166.8</v>
      </c>
      <c r="AD352" s="5">
        <v>175.3</v>
      </c>
    </row>
    <row r="353" spans="1:30" x14ac:dyDescent="0.35">
      <c r="A353" s="5" t="s">
        <v>34</v>
      </c>
      <c r="B353" s="5">
        <v>2022</v>
      </c>
      <c r="C353" s="5" t="s">
        <v>43</v>
      </c>
      <c r="D353" s="11">
        <v>165.2</v>
      </c>
      <c r="E353" s="5">
        <v>210.9</v>
      </c>
      <c r="F353" s="5">
        <v>170.9</v>
      </c>
      <c r="G353" s="5">
        <v>170.9</v>
      </c>
      <c r="H353" s="5">
        <v>186.5</v>
      </c>
      <c r="I353" s="5">
        <v>163.80000000000001</v>
      </c>
      <c r="J353" s="5">
        <v>199.7</v>
      </c>
      <c r="K353" s="5">
        <v>169.8</v>
      </c>
      <c r="L353" s="5">
        <v>121.9</v>
      </c>
      <c r="M353" s="5">
        <v>199.9</v>
      </c>
      <c r="N353" s="5">
        <v>169.9</v>
      </c>
      <c r="O353" s="5">
        <v>188.3</v>
      </c>
      <c r="P353" s="5">
        <v>179.6</v>
      </c>
      <c r="Q353" s="5">
        <v>196.3</v>
      </c>
      <c r="R353" s="5">
        <v>181.9</v>
      </c>
      <c r="S353" s="5">
        <v>175.3</v>
      </c>
      <c r="T353" s="5">
        <v>181</v>
      </c>
      <c r="U353" s="5">
        <v>171.2</v>
      </c>
      <c r="V353" s="5">
        <v>180.5</v>
      </c>
      <c r="W353" s="5">
        <v>170.4</v>
      </c>
      <c r="X353" s="5">
        <v>178.7</v>
      </c>
      <c r="Y353" s="5">
        <v>162.9</v>
      </c>
      <c r="Z353" s="5">
        <v>168.2</v>
      </c>
      <c r="AA353" s="5">
        <v>173.4</v>
      </c>
      <c r="AB353" s="5">
        <v>172.1</v>
      </c>
      <c r="AC353" s="5">
        <v>170.5</v>
      </c>
      <c r="AD353" s="5">
        <v>176.7</v>
      </c>
    </row>
    <row r="354" spans="1:30" x14ac:dyDescent="0.35">
      <c r="A354" s="5" t="s">
        <v>30</v>
      </c>
      <c r="B354" s="5">
        <v>2022</v>
      </c>
      <c r="C354" s="5" t="s">
        <v>45</v>
      </c>
      <c r="D354" s="11">
        <v>166.9</v>
      </c>
      <c r="E354" s="5">
        <v>207.2</v>
      </c>
      <c r="F354" s="5">
        <v>180.2</v>
      </c>
      <c r="G354" s="5">
        <v>172.3</v>
      </c>
      <c r="H354" s="5">
        <v>194</v>
      </c>
      <c r="I354" s="5">
        <v>159.1</v>
      </c>
      <c r="J354" s="5">
        <v>171.6</v>
      </c>
      <c r="K354" s="5">
        <v>170.2</v>
      </c>
      <c r="L354" s="5">
        <v>121.5</v>
      </c>
      <c r="M354" s="5">
        <v>204.8</v>
      </c>
      <c r="N354" s="5">
        <v>176.4</v>
      </c>
      <c r="O354" s="5">
        <v>186.9</v>
      </c>
      <c r="P354" s="5">
        <v>176.6</v>
      </c>
      <c r="Q354" s="5">
        <v>195.5</v>
      </c>
      <c r="R354" s="5">
        <v>187.2</v>
      </c>
      <c r="S354" s="5">
        <v>185.2</v>
      </c>
      <c r="T354" s="5">
        <v>186.9</v>
      </c>
      <c r="U354" s="5" t="s">
        <v>32</v>
      </c>
      <c r="V354" s="5">
        <v>181.9</v>
      </c>
      <c r="W354" s="5">
        <v>175.5</v>
      </c>
      <c r="X354" s="5">
        <v>182.3</v>
      </c>
      <c r="Y354" s="5">
        <v>167.5</v>
      </c>
      <c r="Z354" s="5">
        <v>170.8</v>
      </c>
      <c r="AA354" s="5">
        <v>176.9</v>
      </c>
      <c r="AB354" s="5">
        <v>173.4</v>
      </c>
      <c r="AC354" s="5">
        <v>174.6</v>
      </c>
      <c r="AD354" s="5">
        <v>177.8</v>
      </c>
    </row>
    <row r="355" spans="1:30" x14ac:dyDescent="0.35">
      <c r="A355" s="5" t="s">
        <v>33</v>
      </c>
      <c r="B355" s="5">
        <v>2022</v>
      </c>
      <c r="C355" s="5" t="s">
        <v>45</v>
      </c>
      <c r="D355" s="11">
        <v>168.4</v>
      </c>
      <c r="E355" s="5">
        <v>213.4</v>
      </c>
      <c r="F355" s="5">
        <v>183.2</v>
      </c>
      <c r="G355" s="5">
        <v>172.3</v>
      </c>
      <c r="H355" s="5">
        <v>180</v>
      </c>
      <c r="I355" s="5">
        <v>162.6</v>
      </c>
      <c r="J355" s="5">
        <v>205.5</v>
      </c>
      <c r="K355" s="5">
        <v>171</v>
      </c>
      <c r="L355" s="5">
        <v>123.4</v>
      </c>
      <c r="M355" s="5">
        <v>198.8</v>
      </c>
      <c r="N355" s="5">
        <v>162.1</v>
      </c>
      <c r="O355" s="5">
        <v>192.4</v>
      </c>
      <c r="P355" s="5">
        <v>181.3</v>
      </c>
      <c r="Q355" s="5">
        <v>200.6</v>
      </c>
      <c r="R355" s="5">
        <v>176.7</v>
      </c>
      <c r="S355" s="5">
        <v>163.5</v>
      </c>
      <c r="T355" s="5">
        <v>174.7</v>
      </c>
      <c r="U355" s="5">
        <v>171.8</v>
      </c>
      <c r="V355" s="5">
        <v>180.3</v>
      </c>
      <c r="W355" s="5">
        <v>166.9</v>
      </c>
      <c r="X355" s="5">
        <v>175.8</v>
      </c>
      <c r="Y355" s="5">
        <v>158.9</v>
      </c>
      <c r="Z355" s="5">
        <v>166.7</v>
      </c>
      <c r="AA355" s="5">
        <v>171.5</v>
      </c>
      <c r="AB355" s="5">
        <v>173.8</v>
      </c>
      <c r="AC355" s="5">
        <v>167.4</v>
      </c>
      <c r="AD355" s="5">
        <v>174.1</v>
      </c>
    </row>
    <row r="356" spans="1:30" x14ac:dyDescent="0.35">
      <c r="A356" s="5" t="s">
        <v>34</v>
      </c>
      <c r="B356" s="5">
        <v>2022</v>
      </c>
      <c r="C356" s="5" t="s">
        <v>45</v>
      </c>
      <c r="D356" s="11">
        <v>167.4</v>
      </c>
      <c r="E356" s="5">
        <v>209.4</v>
      </c>
      <c r="F356" s="5">
        <v>181.4</v>
      </c>
      <c r="G356" s="5">
        <v>172.3</v>
      </c>
      <c r="H356" s="5">
        <v>188.9</v>
      </c>
      <c r="I356" s="5">
        <v>160.69999999999999</v>
      </c>
      <c r="J356" s="5">
        <v>183.1</v>
      </c>
      <c r="K356" s="5">
        <v>170.5</v>
      </c>
      <c r="L356" s="5">
        <v>122.1</v>
      </c>
      <c r="M356" s="5">
        <v>202.8</v>
      </c>
      <c r="N356" s="5">
        <v>170.4</v>
      </c>
      <c r="O356" s="5">
        <v>189.5</v>
      </c>
      <c r="P356" s="5">
        <v>178.3</v>
      </c>
      <c r="Q356" s="5">
        <v>196.9</v>
      </c>
      <c r="R356" s="5">
        <v>183.1</v>
      </c>
      <c r="S356" s="5">
        <v>176.2</v>
      </c>
      <c r="T356" s="5">
        <v>182.1</v>
      </c>
      <c r="U356" s="5">
        <v>171.8</v>
      </c>
      <c r="V356" s="5">
        <v>181.3</v>
      </c>
      <c r="W356" s="5">
        <v>171.4</v>
      </c>
      <c r="X356" s="5">
        <v>179.8</v>
      </c>
      <c r="Y356" s="5">
        <v>163</v>
      </c>
      <c r="Z356" s="5">
        <v>168.5</v>
      </c>
      <c r="AA356" s="5">
        <v>173.7</v>
      </c>
      <c r="AB356" s="5">
        <v>173.6</v>
      </c>
      <c r="AC356" s="5">
        <v>171.1</v>
      </c>
      <c r="AD356" s="5">
        <v>176.5</v>
      </c>
    </row>
    <row r="357" spans="1:30" x14ac:dyDescent="0.35">
      <c r="A357" s="5" t="s">
        <v>30</v>
      </c>
      <c r="B357" s="5">
        <v>2022</v>
      </c>
      <c r="C357" s="5" t="s">
        <v>46</v>
      </c>
      <c r="D357" s="11">
        <v>168.8</v>
      </c>
      <c r="E357" s="5">
        <v>206.9</v>
      </c>
      <c r="F357" s="5">
        <v>189.1</v>
      </c>
      <c r="G357" s="5">
        <v>173.4</v>
      </c>
      <c r="H357" s="5">
        <v>193.9</v>
      </c>
      <c r="I357" s="5">
        <v>156.69999999999999</v>
      </c>
      <c r="J357" s="5">
        <v>150.19999999999999</v>
      </c>
      <c r="K357" s="5">
        <v>170.5</v>
      </c>
      <c r="L357" s="5">
        <v>121.2</v>
      </c>
      <c r="M357" s="5">
        <v>207.5</v>
      </c>
      <c r="N357" s="5">
        <v>176.8</v>
      </c>
      <c r="O357" s="5">
        <v>187.7</v>
      </c>
      <c r="P357" s="5">
        <v>174.4</v>
      </c>
      <c r="Q357" s="5">
        <v>195.9</v>
      </c>
      <c r="R357" s="5">
        <v>188.1</v>
      </c>
      <c r="S357" s="5">
        <v>185.9</v>
      </c>
      <c r="T357" s="5">
        <v>187.8</v>
      </c>
      <c r="U357" s="5" t="s">
        <v>32</v>
      </c>
      <c r="V357" s="5">
        <v>182.8</v>
      </c>
      <c r="W357" s="5">
        <v>176.4</v>
      </c>
      <c r="X357" s="5">
        <v>183.5</v>
      </c>
      <c r="Y357" s="5">
        <v>167.8</v>
      </c>
      <c r="Z357" s="5">
        <v>171.2</v>
      </c>
      <c r="AA357" s="5">
        <v>177.3</v>
      </c>
      <c r="AB357" s="5">
        <v>175.7</v>
      </c>
      <c r="AC357" s="5">
        <v>175.5</v>
      </c>
      <c r="AD357" s="5">
        <v>177.1</v>
      </c>
    </row>
    <row r="358" spans="1:30" x14ac:dyDescent="0.35">
      <c r="A358" s="5" t="s">
        <v>33</v>
      </c>
      <c r="B358" s="5">
        <v>2022</v>
      </c>
      <c r="C358" s="5" t="s">
        <v>46</v>
      </c>
      <c r="D358" s="11">
        <v>170.2</v>
      </c>
      <c r="E358" s="5">
        <v>212.9</v>
      </c>
      <c r="F358" s="5">
        <v>191.9</v>
      </c>
      <c r="G358" s="5">
        <v>173.9</v>
      </c>
      <c r="H358" s="5">
        <v>179.1</v>
      </c>
      <c r="I358" s="5">
        <v>159.5</v>
      </c>
      <c r="J358" s="5">
        <v>178.7</v>
      </c>
      <c r="K358" s="5">
        <v>171.3</v>
      </c>
      <c r="L358" s="5">
        <v>123.1</v>
      </c>
      <c r="M358" s="5">
        <v>200.5</v>
      </c>
      <c r="N358" s="5">
        <v>162.80000000000001</v>
      </c>
      <c r="O358" s="5">
        <v>193.3</v>
      </c>
      <c r="P358" s="5">
        <v>178.6</v>
      </c>
      <c r="Q358" s="5">
        <v>201.1</v>
      </c>
      <c r="R358" s="5">
        <v>177.7</v>
      </c>
      <c r="S358" s="5">
        <v>164.5</v>
      </c>
      <c r="T358" s="5">
        <v>175.7</v>
      </c>
      <c r="U358" s="5">
        <v>170.7</v>
      </c>
      <c r="V358" s="5">
        <v>180.6</v>
      </c>
      <c r="W358" s="5">
        <v>167.3</v>
      </c>
      <c r="X358" s="5">
        <v>177.2</v>
      </c>
      <c r="Y358" s="5">
        <v>159.4</v>
      </c>
      <c r="Z358" s="5">
        <v>167.1</v>
      </c>
      <c r="AA358" s="5">
        <v>171.8</v>
      </c>
      <c r="AB358" s="5">
        <v>176</v>
      </c>
      <c r="AC358" s="5">
        <v>168.2</v>
      </c>
      <c r="AD358" s="5">
        <v>174.1</v>
      </c>
    </row>
    <row r="359" spans="1:30" x14ac:dyDescent="0.35">
      <c r="A359" s="5" t="s">
        <v>34</v>
      </c>
      <c r="B359" s="5">
        <v>2022</v>
      </c>
      <c r="C359" s="5" t="s">
        <v>46</v>
      </c>
      <c r="D359" s="11">
        <v>169.2</v>
      </c>
      <c r="E359" s="5">
        <v>209</v>
      </c>
      <c r="F359" s="5">
        <v>190.2</v>
      </c>
      <c r="G359" s="5">
        <v>173.6</v>
      </c>
      <c r="H359" s="5">
        <v>188.5</v>
      </c>
      <c r="I359" s="5">
        <v>158</v>
      </c>
      <c r="J359" s="5">
        <v>159.9</v>
      </c>
      <c r="K359" s="5">
        <v>170.8</v>
      </c>
      <c r="L359" s="5">
        <v>121.8</v>
      </c>
      <c r="M359" s="5">
        <v>205.2</v>
      </c>
      <c r="N359" s="5">
        <v>171</v>
      </c>
      <c r="O359" s="5">
        <v>190.3</v>
      </c>
      <c r="P359" s="5">
        <v>175.9</v>
      </c>
      <c r="Q359" s="5">
        <v>197.3</v>
      </c>
      <c r="R359" s="5">
        <v>184</v>
      </c>
      <c r="S359" s="5">
        <v>177</v>
      </c>
      <c r="T359" s="5">
        <v>183</v>
      </c>
      <c r="U359" s="5">
        <v>170.7</v>
      </c>
      <c r="V359" s="5">
        <v>182</v>
      </c>
      <c r="W359" s="5">
        <v>172.1</v>
      </c>
      <c r="X359" s="5">
        <v>181.1</v>
      </c>
      <c r="Y359" s="5">
        <v>163.4</v>
      </c>
      <c r="Z359" s="5">
        <v>168.9</v>
      </c>
      <c r="AA359" s="5">
        <v>174.1</v>
      </c>
      <c r="AB359" s="5">
        <v>175.8</v>
      </c>
      <c r="AC359" s="5">
        <v>172</v>
      </c>
      <c r="AD359" s="5">
        <v>175.7</v>
      </c>
    </row>
    <row r="360" spans="1:30" x14ac:dyDescent="0.35">
      <c r="A360" s="5" t="s">
        <v>30</v>
      </c>
      <c r="B360" s="5">
        <v>2023</v>
      </c>
      <c r="C360" s="5" t="s">
        <v>31</v>
      </c>
      <c r="D360" s="11">
        <v>174</v>
      </c>
      <c r="E360" s="5">
        <v>208.3</v>
      </c>
      <c r="F360" s="5">
        <v>192.9</v>
      </c>
      <c r="G360" s="5">
        <v>174.3</v>
      </c>
      <c r="H360" s="5">
        <v>192.6</v>
      </c>
      <c r="I360" s="5">
        <v>156.30000000000001</v>
      </c>
      <c r="J360" s="5">
        <v>142.9</v>
      </c>
      <c r="K360" s="5">
        <v>170.7</v>
      </c>
      <c r="L360" s="5">
        <v>120.3</v>
      </c>
      <c r="M360" s="5">
        <v>210.5</v>
      </c>
      <c r="N360" s="5">
        <v>176.9</v>
      </c>
      <c r="O360" s="5">
        <v>188.5</v>
      </c>
      <c r="P360" s="5">
        <v>175</v>
      </c>
      <c r="Q360" s="5">
        <v>196.9</v>
      </c>
      <c r="R360" s="5">
        <v>189</v>
      </c>
      <c r="S360" s="5">
        <v>186.3</v>
      </c>
      <c r="T360" s="5">
        <v>188.6</v>
      </c>
      <c r="U360" s="5" t="s">
        <v>32</v>
      </c>
      <c r="V360" s="5">
        <v>183.2</v>
      </c>
      <c r="W360" s="5">
        <v>177.2</v>
      </c>
      <c r="X360" s="5">
        <v>184.7</v>
      </c>
      <c r="Y360" s="5">
        <v>168.2</v>
      </c>
      <c r="Z360" s="5">
        <v>171.8</v>
      </c>
      <c r="AA360" s="5">
        <v>177.8</v>
      </c>
      <c r="AB360" s="5">
        <v>178.4</v>
      </c>
      <c r="AC360" s="5">
        <v>176.5</v>
      </c>
      <c r="AD360" s="5">
        <v>177.8</v>
      </c>
    </row>
    <row r="361" spans="1:30" x14ac:dyDescent="0.35">
      <c r="A361" s="5" t="s">
        <v>33</v>
      </c>
      <c r="B361" s="5">
        <v>2023</v>
      </c>
      <c r="C361" s="5" t="s">
        <v>31</v>
      </c>
      <c r="D361" s="11">
        <v>173.3</v>
      </c>
      <c r="E361" s="5">
        <v>215.2</v>
      </c>
      <c r="F361" s="5">
        <v>197</v>
      </c>
      <c r="G361" s="5">
        <v>175.2</v>
      </c>
      <c r="H361" s="5">
        <v>178</v>
      </c>
      <c r="I361" s="5">
        <v>160.5</v>
      </c>
      <c r="J361" s="5">
        <v>175.3</v>
      </c>
      <c r="K361" s="5">
        <v>171.2</v>
      </c>
      <c r="L361" s="5">
        <v>122.7</v>
      </c>
      <c r="M361" s="5">
        <v>204.3</v>
      </c>
      <c r="N361" s="5">
        <v>163.69999999999999</v>
      </c>
      <c r="O361" s="5">
        <v>194.3</v>
      </c>
      <c r="P361" s="5">
        <v>179.5</v>
      </c>
      <c r="Q361" s="5">
        <v>201.6</v>
      </c>
      <c r="R361" s="5">
        <v>178.7</v>
      </c>
      <c r="S361" s="5">
        <v>165.3</v>
      </c>
      <c r="T361" s="5">
        <v>176.6</v>
      </c>
      <c r="U361" s="5">
        <v>172.1</v>
      </c>
      <c r="V361" s="5">
        <v>180.1</v>
      </c>
      <c r="W361" s="5">
        <v>168</v>
      </c>
      <c r="X361" s="5">
        <v>178.5</v>
      </c>
      <c r="Y361" s="5">
        <v>159.5</v>
      </c>
      <c r="Z361" s="5">
        <v>167.8</v>
      </c>
      <c r="AA361" s="5">
        <v>171.8</v>
      </c>
      <c r="AB361" s="5">
        <v>178.8</v>
      </c>
      <c r="AC361" s="5">
        <v>168.9</v>
      </c>
      <c r="AD361" s="5">
        <v>174.9</v>
      </c>
    </row>
    <row r="362" spans="1:30" x14ac:dyDescent="0.35">
      <c r="A362" s="5" t="s">
        <v>34</v>
      </c>
      <c r="B362" s="5">
        <v>2023</v>
      </c>
      <c r="C362" s="5" t="s">
        <v>31</v>
      </c>
      <c r="D362" s="11">
        <v>173.8</v>
      </c>
      <c r="E362" s="5">
        <v>210.7</v>
      </c>
      <c r="F362" s="5">
        <v>194.5</v>
      </c>
      <c r="G362" s="5">
        <v>174.6</v>
      </c>
      <c r="H362" s="5">
        <v>187.2</v>
      </c>
      <c r="I362" s="5">
        <v>158.30000000000001</v>
      </c>
      <c r="J362" s="5">
        <v>153.9</v>
      </c>
      <c r="K362" s="5">
        <v>170.9</v>
      </c>
      <c r="L362" s="5">
        <v>121.1</v>
      </c>
      <c r="M362" s="5">
        <v>208.4</v>
      </c>
      <c r="N362" s="5">
        <v>171.4</v>
      </c>
      <c r="O362" s="5">
        <v>191.2</v>
      </c>
      <c r="P362" s="5">
        <v>176.7</v>
      </c>
      <c r="Q362" s="5">
        <v>198.2</v>
      </c>
      <c r="R362" s="5">
        <v>184.9</v>
      </c>
      <c r="S362" s="5">
        <v>177.6</v>
      </c>
      <c r="T362" s="5">
        <v>183.8</v>
      </c>
      <c r="U362" s="5">
        <v>172.1</v>
      </c>
      <c r="V362" s="5">
        <v>182</v>
      </c>
      <c r="W362" s="5">
        <v>172.9</v>
      </c>
      <c r="X362" s="5">
        <v>182.3</v>
      </c>
      <c r="Y362" s="5">
        <v>163.6</v>
      </c>
      <c r="Z362" s="5">
        <v>169.5</v>
      </c>
      <c r="AA362" s="5">
        <v>174.3</v>
      </c>
      <c r="AB362" s="5">
        <v>178.6</v>
      </c>
      <c r="AC362" s="5">
        <v>172.8</v>
      </c>
      <c r="AD362" s="5">
        <v>176.5</v>
      </c>
    </row>
    <row r="363" spans="1:30" x14ac:dyDescent="0.35">
      <c r="A363" s="5" t="s">
        <v>30</v>
      </c>
      <c r="B363" s="5">
        <v>2023</v>
      </c>
      <c r="C363" s="5" t="s">
        <v>35</v>
      </c>
      <c r="D363" s="11">
        <v>174.2</v>
      </c>
      <c r="E363" s="5">
        <v>205.2</v>
      </c>
      <c r="F363" s="5">
        <v>173.9</v>
      </c>
      <c r="G363" s="5">
        <v>177</v>
      </c>
      <c r="H363" s="5">
        <v>183.4</v>
      </c>
      <c r="I363" s="5">
        <v>167.2</v>
      </c>
      <c r="J363" s="5">
        <v>140.9</v>
      </c>
      <c r="K363" s="5">
        <v>170.4</v>
      </c>
      <c r="L363" s="5">
        <v>119.1</v>
      </c>
      <c r="M363" s="5">
        <v>212.1</v>
      </c>
      <c r="N363" s="5">
        <v>177.6</v>
      </c>
      <c r="O363" s="5">
        <v>189.9</v>
      </c>
      <c r="P363" s="5">
        <v>174.8</v>
      </c>
      <c r="Q363" s="5">
        <v>198.3</v>
      </c>
      <c r="R363" s="5">
        <v>190</v>
      </c>
      <c r="S363" s="5">
        <v>187</v>
      </c>
      <c r="T363" s="5">
        <v>189.6</v>
      </c>
      <c r="U363" s="5" t="s">
        <v>32</v>
      </c>
      <c r="V363" s="5">
        <v>181.6</v>
      </c>
      <c r="W363" s="5">
        <v>178.6</v>
      </c>
      <c r="X363" s="5">
        <v>186.6</v>
      </c>
      <c r="Y363" s="5">
        <v>169</v>
      </c>
      <c r="Z363" s="5">
        <v>172.8</v>
      </c>
      <c r="AA363" s="5">
        <v>178.5</v>
      </c>
      <c r="AB363" s="5">
        <v>180.7</v>
      </c>
      <c r="AC363" s="5">
        <v>177.9</v>
      </c>
      <c r="AD363" s="5">
        <v>178</v>
      </c>
    </row>
    <row r="364" spans="1:30" x14ac:dyDescent="0.35">
      <c r="A364" s="5" t="s">
        <v>33</v>
      </c>
      <c r="B364" s="5">
        <v>2023</v>
      </c>
      <c r="C364" s="5" t="s">
        <v>35</v>
      </c>
      <c r="D364" s="11">
        <v>174.7</v>
      </c>
      <c r="E364" s="5">
        <v>212.2</v>
      </c>
      <c r="F364" s="5">
        <v>177.2</v>
      </c>
      <c r="G364" s="5">
        <v>177.9</v>
      </c>
      <c r="H364" s="5">
        <v>172.2</v>
      </c>
      <c r="I364" s="5">
        <v>172.1</v>
      </c>
      <c r="J364" s="5">
        <v>175.8</v>
      </c>
      <c r="K364" s="5">
        <v>172.2</v>
      </c>
      <c r="L364" s="5">
        <v>121.9</v>
      </c>
      <c r="M364" s="5">
        <v>204.8</v>
      </c>
      <c r="N364" s="5">
        <v>164.9</v>
      </c>
      <c r="O364" s="5">
        <v>196.6</v>
      </c>
      <c r="P364" s="5">
        <v>180.7</v>
      </c>
      <c r="Q364" s="5">
        <v>202.7</v>
      </c>
      <c r="R364" s="5">
        <v>180.3</v>
      </c>
      <c r="S364" s="5">
        <v>167</v>
      </c>
      <c r="T364" s="5">
        <v>178.2</v>
      </c>
      <c r="U364" s="5">
        <v>173.5</v>
      </c>
      <c r="V364" s="5">
        <v>182.8</v>
      </c>
      <c r="W364" s="5">
        <v>169.2</v>
      </c>
      <c r="X364" s="5">
        <v>180.8</v>
      </c>
      <c r="Y364" s="5">
        <v>159.80000000000001</v>
      </c>
      <c r="Z364" s="5">
        <v>168.4</v>
      </c>
      <c r="AA364" s="5">
        <v>172.5</v>
      </c>
      <c r="AB364" s="5">
        <v>181.4</v>
      </c>
      <c r="AC364" s="5">
        <v>170</v>
      </c>
      <c r="AD364" s="5">
        <v>176.3</v>
      </c>
    </row>
    <row r="365" spans="1:30" x14ac:dyDescent="0.35">
      <c r="A365" s="5" t="s">
        <v>34</v>
      </c>
      <c r="B365" s="5">
        <v>2023</v>
      </c>
      <c r="C365" s="5" t="s">
        <v>35</v>
      </c>
      <c r="D365" s="11">
        <v>174.4</v>
      </c>
      <c r="E365" s="5">
        <v>207.7</v>
      </c>
      <c r="F365" s="5">
        <v>175.2</v>
      </c>
      <c r="G365" s="5">
        <v>177.3</v>
      </c>
      <c r="H365" s="5">
        <v>179.3</v>
      </c>
      <c r="I365" s="5">
        <v>169.5</v>
      </c>
      <c r="J365" s="5">
        <v>152.69999999999999</v>
      </c>
      <c r="K365" s="5">
        <v>171</v>
      </c>
      <c r="L365" s="5">
        <v>120</v>
      </c>
      <c r="M365" s="5">
        <v>209.7</v>
      </c>
      <c r="N365" s="5">
        <v>172.3</v>
      </c>
      <c r="O365" s="5">
        <v>193</v>
      </c>
      <c r="P365" s="5">
        <v>177</v>
      </c>
      <c r="Q365" s="5">
        <v>199.5</v>
      </c>
      <c r="R365" s="5">
        <v>186.2</v>
      </c>
      <c r="S365" s="5">
        <v>178.7</v>
      </c>
      <c r="T365" s="5">
        <v>185.1</v>
      </c>
      <c r="U365" s="5">
        <v>173.5</v>
      </c>
      <c r="V365" s="5">
        <v>182.1</v>
      </c>
      <c r="W365" s="5">
        <v>174.2</v>
      </c>
      <c r="X365" s="5">
        <v>184.4</v>
      </c>
      <c r="Y365" s="5">
        <v>164.2</v>
      </c>
      <c r="Z365" s="5">
        <v>170.3</v>
      </c>
      <c r="AA365" s="5">
        <v>175</v>
      </c>
      <c r="AB365" s="5">
        <v>181</v>
      </c>
      <c r="AC365" s="5">
        <v>174.1</v>
      </c>
      <c r="AD365" s="5">
        <v>177.2</v>
      </c>
    </row>
    <row r="366" spans="1:30" x14ac:dyDescent="0.35">
      <c r="A366" s="5" t="s">
        <v>30</v>
      </c>
      <c r="B366" s="5">
        <v>2023</v>
      </c>
      <c r="C366" s="5" t="s">
        <v>36</v>
      </c>
      <c r="D366" s="11">
        <v>174.3</v>
      </c>
      <c r="E366" s="5">
        <v>205.2</v>
      </c>
      <c r="F366" s="5">
        <v>173.9</v>
      </c>
      <c r="G366" s="5">
        <v>177</v>
      </c>
      <c r="H366" s="5">
        <v>183.3</v>
      </c>
      <c r="I366" s="5">
        <v>167.2</v>
      </c>
      <c r="J366" s="5">
        <v>140.9</v>
      </c>
      <c r="K366" s="5">
        <v>170.5</v>
      </c>
      <c r="L366" s="5">
        <v>119.1</v>
      </c>
      <c r="M366" s="5">
        <v>212.1</v>
      </c>
      <c r="N366" s="5">
        <v>177.6</v>
      </c>
      <c r="O366" s="5">
        <v>189.9</v>
      </c>
      <c r="P366" s="5">
        <v>174.8</v>
      </c>
      <c r="Q366" s="5">
        <v>198.4</v>
      </c>
      <c r="R366" s="5">
        <v>190</v>
      </c>
      <c r="S366" s="5">
        <v>187</v>
      </c>
      <c r="T366" s="5">
        <v>189.6</v>
      </c>
      <c r="U366" s="5" t="s">
        <v>32</v>
      </c>
      <c r="V366" s="5">
        <v>181.4</v>
      </c>
      <c r="W366" s="5">
        <v>178.6</v>
      </c>
      <c r="X366" s="5">
        <v>186.6</v>
      </c>
      <c r="Y366" s="5">
        <v>169</v>
      </c>
      <c r="Z366" s="5">
        <v>172.8</v>
      </c>
      <c r="AA366" s="5">
        <v>178.5</v>
      </c>
      <c r="AB366" s="5">
        <v>180.7</v>
      </c>
      <c r="AC366" s="5">
        <v>177.9</v>
      </c>
      <c r="AD366" s="5">
        <v>178</v>
      </c>
    </row>
    <row r="367" spans="1:30" x14ac:dyDescent="0.35">
      <c r="A367" s="5" t="s">
        <v>33</v>
      </c>
      <c r="B367" s="5">
        <v>2023</v>
      </c>
      <c r="C367" s="5" t="s">
        <v>36</v>
      </c>
      <c r="D367" s="11">
        <v>174.7</v>
      </c>
      <c r="E367" s="5">
        <v>212.2</v>
      </c>
      <c r="F367" s="5">
        <v>177.2</v>
      </c>
      <c r="G367" s="5">
        <v>177.9</v>
      </c>
      <c r="H367" s="5">
        <v>172.2</v>
      </c>
      <c r="I367" s="5">
        <v>172.1</v>
      </c>
      <c r="J367" s="5">
        <v>175.9</v>
      </c>
      <c r="K367" s="5">
        <v>172.2</v>
      </c>
      <c r="L367" s="5">
        <v>121.9</v>
      </c>
      <c r="M367" s="5">
        <v>204.8</v>
      </c>
      <c r="N367" s="5">
        <v>164.9</v>
      </c>
      <c r="O367" s="5">
        <v>196.6</v>
      </c>
      <c r="P367" s="5">
        <v>180.8</v>
      </c>
      <c r="Q367" s="5">
        <v>202.7</v>
      </c>
      <c r="R367" s="5">
        <v>180.2</v>
      </c>
      <c r="S367" s="5">
        <v>167</v>
      </c>
      <c r="T367" s="5">
        <v>178.2</v>
      </c>
      <c r="U367" s="5">
        <v>173.5</v>
      </c>
      <c r="V367" s="5">
        <v>182.6</v>
      </c>
      <c r="W367" s="5">
        <v>169.2</v>
      </c>
      <c r="X367" s="5">
        <v>180.8</v>
      </c>
      <c r="Y367" s="5">
        <v>159.80000000000001</v>
      </c>
      <c r="Z367" s="5">
        <v>168.4</v>
      </c>
      <c r="AA367" s="5">
        <v>172.5</v>
      </c>
      <c r="AB367" s="5">
        <v>181.5</v>
      </c>
      <c r="AC367" s="5">
        <v>170</v>
      </c>
      <c r="AD367" s="5">
        <v>176.3</v>
      </c>
    </row>
    <row r="368" spans="1:30" x14ac:dyDescent="0.35">
      <c r="A368" s="5" t="s">
        <v>34</v>
      </c>
      <c r="B368" s="5">
        <v>2023</v>
      </c>
      <c r="C368" s="5" t="s">
        <v>36</v>
      </c>
      <c r="D368" s="11">
        <v>174.4</v>
      </c>
      <c r="E368" s="5">
        <v>207.7</v>
      </c>
      <c r="F368" s="5">
        <v>175.2</v>
      </c>
      <c r="G368" s="5">
        <v>177.3</v>
      </c>
      <c r="H368" s="5">
        <v>179.2</v>
      </c>
      <c r="I368" s="5">
        <v>169.5</v>
      </c>
      <c r="J368" s="5">
        <v>152.80000000000001</v>
      </c>
      <c r="K368" s="5">
        <v>171.1</v>
      </c>
      <c r="L368" s="5">
        <v>120</v>
      </c>
      <c r="M368" s="5">
        <v>209.7</v>
      </c>
      <c r="N368" s="5">
        <v>172.3</v>
      </c>
      <c r="O368" s="5">
        <v>193</v>
      </c>
      <c r="P368" s="5">
        <v>177</v>
      </c>
      <c r="Q368" s="5">
        <v>199.5</v>
      </c>
      <c r="R368" s="5">
        <v>186.1</v>
      </c>
      <c r="S368" s="5">
        <v>178.7</v>
      </c>
      <c r="T368" s="5">
        <v>185.1</v>
      </c>
      <c r="U368" s="5">
        <v>173.5</v>
      </c>
      <c r="V368" s="5">
        <v>181.9</v>
      </c>
      <c r="W368" s="5">
        <v>174.2</v>
      </c>
      <c r="X368" s="5">
        <v>184.4</v>
      </c>
      <c r="Y368" s="5">
        <v>164.2</v>
      </c>
      <c r="Z368" s="5">
        <v>170.3</v>
      </c>
      <c r="AA368" s="5">
        <v>175</v>
      </c>
      <c r="AB368" s="5">
        <v>181</v>
      </c>
      <c r="AC368" s="5">
        <v>174.1</v>
      </c>
      <c r="AD368" s="5">
        <v>177.2</v>
      </c>
    </row>
    <row r="369" spans="1:30" x14ac:dyDescent="0.35">
      <c r="A369" s="5" t="s">
        <v>30</v>
      </c>
      <c r="B369" s="5">
        <v>2023</v>
      </c>
      <c r="C369" s="5" t="s">
        <v>37</v>
      </c>
      <c r="D369" s="11">
        <v>173.3</v>
      </c>
      <c r="E369" s="5">
        <v>206.9</v>
      </c>
      <c r="F369" s="5">
        <v>167.9</v>
      </c>
      <c r="G369" s="5">
        <v>178.2</v>
      </c>
      <c r="H369" s="5">
        <v>178.5</v>
      </c>
      <c r="I369" s="5">
        <v>173.7</v>
      </c>
      <c r="J369" s="5">
        <v>142.80000000000001</v>
      </c>
      <c r="K369" s="5">
        <v>172.8</v>
      </c>
      <c r="L369" s="5">
        <v>120.4</v>
      </c>
      <c r="M369" s="5">
        <v>215.5</v>
      </c>
      <c r="N369" s="5">
        <v>178.2</v>
      </c>
      <c r="O369" s="5">
        <v>190.5</v>
      </c>
      <c r="P369" s="5">
        <v>175.5</v>
      </c>
      <c r="Q369" s="5">
        <v>199.5</v>
      </c>
      <c r="R369" s="5">
        <v>190.7</v>
      </c>
      <c r="S369" s="5">
        <v>187.3</v>
      </c>
      <c r="T369" s="5">
        <v>190.2</v>
      </c>
      <c r="U369" s="5" t="s">
        <v>32</v>
      </c>
      <c r="V369" s="5">
        <v>181.5</v>
      </c>
      <c r="W369" s="5">
        <v>179.1</v>
      </c>
      <c r="X369" s="5">
        <v>187.2</v>
      </c>
      <c r="Y369" s="5">
        <v>169.4</v>
      </c>
      <c r="Z369" s="5">
        <v>173.2</v>
      </c>
      <c r="AA369" s="5">
        <v>179.4</v>
      </c>
      <c r="AB369" s="5">
        <v>183.8</v>
      </c>
      <c r="AC369" s="5">
        <v>178.9</v>
      </c>
      <c r="AD369" s="5">
        <v>178.8</v>
      </c>
    </row>
    <row r="370" spans="1:30" x14ac:dyDescent="0.35">
      <c r="A370" s="5" t="s">
        <v>33</v>
      </c>
      <c r="B370" s="5">
        <v>2023</v>
      </c>
      <c r="C370" s="5" t="s">
        <v>37</v>
      </c>
      <c r="D370" s="11">
        <v>174.8</v>
      </c>
      <c r="E370" s="5">
        <v>213.7</v>
      </c>
      <c r="F370" s="5">
        <v>172.4</v>
      </c>
      <c r="G370" s="5">
        <v>178.8</v>
      </c>
      <c r="H370" s="5">
        <v>168.7</v>
      </c>
      <c r="I370" s="5">
        <v>179.2</v>
      </c>
      <c r="J370" s="5">
        <v>179.9</v>
      </c>
      <c r="K370" s="5">
        <v>174.7</v>
      </c>
      <c r="L370" s="5">
        <v>123.1</v>
      </c>
      <c r="M370" s="5">
        <v>207.8</v>
      </c>
      <c r="N370" s="5">
        <v>165.5</v>
      </c>
      <c r="O370" s="5">
        <v>197</v>
      </c>
      <c r="P370" s="5">
        <v>182.1</v>
      </c>
      <c r="Q370" s="5">
        <v>203.5</v>
      </c>
      <c r="R370" s="5">
        <v>181</v>
      </c>
      <c r="S370" s="5">
        <v>167.7</v>
      </c>
      <c r="T370" s="5">
        <v>178.9</v>
      </c>
      <c r="U370" s="5">
        <v>175.2</v>
      </c>
      <c r="V370" s="5">
        <v>182.1</v>
      </c>
      <c r="W370" s="5">
        <v>169.6</v>
      </c>
      <c r="X370" s="5">
        <v>181.5</v>
      </c>
      <c r="Y370" s="5">
        <v>160.1</v>
      </c>
      <c r="Z370" s="5">
        <v>168.8</v>
      </c>
      <c r="AA370" s="5">
        <v>174.2</v>
      </c>
      <c r="AB370" s="5">
        <v>184.4</v>
      </c>
      <c r="AC370" s="5">
        <v>170.9</v>
      </c>
      <c r="AD370" s="5">
        <v>177.4</v>
      </c>
    </row>
    <row r="371" spans="1:30" x14ac:dyDescent="0.35">
      <c r="A371" s="5" t="s">
        <v>34</v>
      </c>
      <c r="B371" s="5">
        <v>2023</v>
      </c>
      <c r="C371" s="5" t="s">
        <v>37</v>
      </c>
      <c r="D371" s="11">
        <v>173.8</v>
      </c>
      <c r="E371" s="5">
        <v>209.3</v>
      </c>
      <c r="F371" s="5">
        <v>169.6</v>
      </c>
      <c r="G371" s="5">
        <v>178.4</v>
      </c>
      <c r="H371" s="5">
        <v>174.9</v>
      </c>
      <c r="I371" s="5">
        <v>176.3</v>
      </c>
      <c r="J371" s="5">
        <v>155.4</v>
      </c>
      <c r="K371" s="5">
        <v>173.4</v>
      </c>
      <c r="L371" s="5">
        <v>121.3</v>
      </c>
      <c r="M371" s="5">
        <v>212.9</v>
      </c>
      <c r="N371" s="5">
        <v>172.9</v>
      </c>
      <c r="O371" s="5">
        <v>193.5</v>
      </c>
      <c r="P371" s="5">
        <v>177.9</v>
      </c>
      <c r="Q371" s="5">
        <v>200.6</v>
      </c>
      <c r="R371" s="5">
        <v>186.9</v>
      </c>
      <c r="S371" s="5">
        <v>179.2</v>
      </c>
      <c r="T371" s="5">
        <v>185.7</v>
      </c>
      <c r="U371" s="5">
        <v>175.2</v>
      </c>
      <c r="V371" s="5">
        <v>181.7</v>
      </c>
      <c r="W371" s="5">
        <v>174.6</v>
      </c>
      <c r="X371" s="5">
        <v>185</v>
      </c>
      <c r="Y371" s="5">
        <v>164.5</v>
      </c>
      <c r="Z371" s="5">
        <v>170.7</v>
      </c>
      <c r="AA371" s="5">
        <v>176.4</v>
      </c>
      <c r="AB371" s="5">
        <v>184</v>
      </c>
      <c r="AC371" s="5">
        <v>175</v>
      </c>
      <c r="AD371" s="5">
        <v>178.1</v>
      </c>
    </row>
    <row r="372" spans="1:30" x14ac:dyDescent="0.35">
      <c r="A372" s="5" t="s">
        <v>30</v>
      </c>
      <c r="B372" s="5">
        <v>2023</v>
      </c>
      <c r="C372" s="5" t="s">
        <v>38</v>
      </c>
      <c r="D372" s="11">
        <v>173.2</v>
      </c>
      <c r="E372" s="5">
        <v>211.5</v>
      </c>
      <c r="F372" s="5">
        <v>171</v>
      </c>
      <c r="G372" s="5">
        <v>179.6</v>
      </c>
      <c r="H372" s="5">
        <v>173.3</v>
      </c>
      <c r="I372" s="5">
        <v>169</v>
      </c>
      <c r="J372" s="5">
        <v>148.69999999999999</v>
      </c>
      <c r="K372" s="5">
        <v>174.9</v>
      </c>
      <c r="L372" s="5">
        <v>121.9</v>
      </c>
      <c r="M372" s="5">
        <v>221</v>
      </c>
      <c r="N372" s="5">
        <v>178.7</v>
      </c>
      <c r="O372" s="5">
        <v>191.1</v>
      </c>
      <c r="P372" s="5">
        <v>176.8</v>
      </c>
      <c r="Q372" s="5">
        <v>199.9</v>
      </c>
      <c r="R372" s="5">
        <v>191.2</v>
      </c>
      <c r="S372" s="5">
        <v>187.9</v>
      </c>
      <c r="T372" s="5">
        <v>190.8</v>
      </c>
      <c r="U372" s="5" t="s">
        <v>32</v>
      </c>
      <c r="V372" s="5">
        <v>182.5</v>
      </c>
      <c r="W372" s="5">
        <v>179.8</v>
      </c>
      <c r="X372" s="5">
        <v>187.8</v>
      </c>
      <c r="Y372" s="5">
        <v>169.7</v>
      </c>
      <c r="Z372" s="5">
        <v>173.8</v>
      </c>
      <c r="AA372" s="5">
        <v>180.3</v>
      </c>
      <c r="AB372" s="5">
        <v>184.9</v>
      </c>
      <c r="AC372" s="5">
        <v>179.5</v>
      </c>
      <c r="AD372" s="5">
        <v>179.8</v>
      </c>
    </row>
    <row r="373" spans="1:30" x14ac:dyDescent="0.35">
      <c r="A373" s="5" t="s">
        <v>33</v>
      </c>
      <c r="B373" s="5">
        <v>2023</v>
      </c>
      <c r="C373" s="5" t="s">
        <v>38</v>
      </c>
      <c r="D373" s="11">
        <v>174.7</v>
      </c>
      <c r="E373" s="5">
        <v>219.4</v>
      </c>
      <c r="F373" s="5">
        <v>176.7</v>
      </c>
      <c r="G373" s="5">
        <v>179.4</v>
      </c>
      <c r="H373" s="5">
        <v>164.4</v>
      </c>
      <c r="I373" s="5">
        <v>175.8</v>
      </c>
      <c r="J373" s="5">
        <v>185</v>
      </c>
      <c r="K373" s="5">
        <v>176.9</v>
      </c>
      <c r="L373" s="5">
        <v>124.2</v>
      </c>
      <c r="M373" s="5">
        <v>211.9</v>
      </c>
      <c r="N373" s="5">
        <v>165.9</v>
      </c>
      <c r="O373" s="5">
        <v>197.7</v>
      </c>
      <c r="P373" s="5">
        <v>183.1</v>
      </c>
      <c r="Q373" s="5">
        <v>204.2</v>
      </c>
      <c r="R373" s="5">
        <v>181.3</v>
      </c>
      <c r="S373" s="5">
        <v>168.1</v>
      </c>
      <c r="T373" s="5">
        <v>179.3</v>
      </c>
      <c r="U373" s="5">
        <v>175.6</v>
      </c>
      <c r="V373" s="5">
        <v>183.4</v>
      </c>
      <c r="W373" s="5">
        <v>170.1</v>
      </c>
      <c r="X373" s="5">
        <v>182.2</v>
      </c>
      <c r="Y373" s="5">
        <v>160.4</v>
      </c>
      <c r="Z373" s="5">
        <v>169.2</v>
      </c>
      <c r="AA373" s="5">
        <v>174.8</v>
      </c>
      <c r="AB373" s="5">
        <v>185.6</v>
      </c>
      <c r="AC373" s="5">
        <v>171.6</v>
      </c>
      <c r="AD373" s="5">
        <v>178.2</v>
      </c>
    </row>
    <row r="374" spans="1:30" x14ac:dyDescent="0.35">
      <c r="A374" s="5" t="s">
        <v>34</v>
      </c>
      <c r="B374" s="5">
        <v>2023</v>
      </c>
      <c r="C374" s="5" t="s">
        <v>38</v>
      </c>
      <c r="D374" s="11">
        <v>173.7</v>
      </c>
      <c r="E374" s="5">
        <v>214.3</v>
      </c>
      <c r="F374" s="5">
        <v>173.2</v>
      </c>
      <c r="G374" s="5">
        <v>179.5</v>
      </c>
      <c r="H374" s="5">
        <v>170</v>
      </c>
      <c r="I374" s="5">
        <v>172.2</v>
      </c>
      <c r="J374" s="5">
        <v>161</v>
      </c>
      <c r="K374" s="5">
        <v>175.6</v>
      </c>
      <c r="L374" s="5">
        <v>122.7</v>
      </c>
      <c r="M374" s="5">
        <v>218</v>
      </c>
      <c r="N374" s="5">
        <v>173.4</v>
      </c>
      <c r="O374" s="5">
        <v>194.2</v>
      </c>
      <c r="P374" s="5">
        <v>179.1</v>
      </c>
      <c r="Q374" s="5">
        <v>201</v>
      </c>
      <c r="R374" s="5">
        <v>187.3</v>
      </c>
      <c r="S374" s="5">
        <v>179.7</v>
      </c>
      <c r="T374" s="5">
        <v>186.2</v>
      </c>
      <c r="U374" s="5">
        <v>175.6</v>
      </c>
      <c r="V374" s="5">
        <v>182.8</v>
      </c>
      <c r="W374" s="5">
        <v>175.2</v>
      </c>
      <c r="X374" s="5">
        <v>185.7</v>
      </c>
      <c r="Y374" s="5">
        <v>164.8</v>
      </c>
      <c r="Z374" s="5">
        <v>171.2</v>
      </c>
      <c r="AA374" s="5">
        <v>177.1</v>
      </c>
      <c r="AB374" s="5">
        <v>185.2</v>
      </c>
      <c r="AC374" s="5">
        <v>175.7</v>
      </c>
      <c r="AD374" s="5">
        <v>179.1</v>
      </c>
    </row>
    <row r="375" spans="1:30" x14ac:dyDescent="0.35">
      <c r="D375" s="3"/>
    </row>
    <row r="376" spans="1:30" x14ac:dyDescent="0.35">
      <c r="O376" t="s">
        <v>55</v>
      </c>
    </row>
    <row r="377" spans="1:30" ht="29" x14ac:dyDescent="0.35">
      <c r="A377" s="4" t="s">
        <v>3</v>
      </c>
      <c r="B377" s="5" t="s">
        <v>48</v>
      </c>
      <c r="C377" s="5" t="s">
        <v>49</v>
      </c>
      <c r="D377" s="5" t="s">
        <v>50</v>
      </c>
      <c r="E377" s="5" t="s">
        <v>51</v>
      </c>
      <c r="F377" s="5" t="s">
        <v>52</v>
      </c>
      <c r="H377" s="4" t="s">
        <v>4</v>
      </c>
      <c r="I377" s="5" t="s">
        <v>48</v>
      </c>
      <c r="J377" s="5" t="s">
        <v>49</v>
      </c>
      <c r="K377" s="5" t="s">
        <v>50</v>
      </c>
      <c r="L377" s="5" t="s">
        <v>51</v>
      </c>
      <c r="M377" s="5" t="s">
        <v>52</v>
      </c>
      <c r="O377" t="s">
        <v>3</v>
      </c>
    </row>
    <row r="378" spans="1:30" x14ac:dyDescent="0.35">
      <c r="A378" s="5" t="str" cm="1">
        <f t="array" ref="A378:A380">_xlfn.UNIQUE(A3:A374)</f>
        <v>Rural</v>
      </c>
      <c r="B378" s="5">
        <v>136.11869918699188</v>
      </c>
      <c r="C378" s="6">
        <v>136.5</v>
      </c>
      <c r="D378" s="6">
        <v>135.32857142857145</v>
      </c>
      <c r="E378" s="5">
        <v>0</v>
      </c>
      <c r="F378" s="5" t="s">
        <v>50</v>
      </c>
      <c r="H378" s="5" t="str" cm="1">
        <f t="array" ref="H378:H380">_xlfn.UNIQUE($A$3:$A$374)</f>
        <v>Rural</v>
      </c>
      <c r="I378" s="5">
        <v>154.9762295081967</v>
      </c>
      <c r="J378" s="6">
        <v>143.75</v>
      </c>
      <c r="K378" s="6">
        <v>153.58124999999998</v>
      </c>
      <c r="L378" s="5">
        <v>0</v>
      </c>
      <c r="M378" s="5" t="str">
        <f>J377</f>
        <v>Median</v>
      </c>
      <c r="O378" t="s">
        <v>4</v>
      </c>
    </row>
    <row r="379" spans="1:30" x14ac:dyDescent="0.35">
      <c r="A379" s="5" t="str">
        <v>Urban</v>
      </c>
      <c r="B379" s="5">
        <v>137.419512195122</v>
      </c>
      <c r="C379" s="6">
        <v>134.69999999999999</v>
      </c>
      <c r="D379" s="6">
        <v>136.54375000000005</v>
      </c>
      <c r="E379" s="5">
        <v>0</v>
      </c>
      <c r="F379" s="5" t="s">
        <v>49</v>
      </c>
      <c r="H379" s="5" t="str">
        <v>Urban</v>
      </c>
      <c r="I379" s="5">
        <v>157.8172131147542</v>
      </c>
      <c r="J379" s="6">
        <v>144</v>
      </c>
      <c r="K379" s="6">
        <v>156.19821428571433</v>
      </c>
      <c r="L379" s="5">
        <v>0</v>
      </c>
      <c r="M379" s="5" t="s">
        <v>49</v>
      </c>
      <c r="O379" t="s">
        <v>5</v>
      </c>
    </row>
    <row r="380" spans="1:30" x14ac:dyDescent="0.35">
      <c r="A380" s="5" t="str">
        <v>Rural+Urban</v>
      </c>
      <c r="B380" s="5">
        <v>136.51951219512191</v>
      </c>
      <c r="C380" s="5">
        <v>135.94999999999999</v>
      </c>
      <c r="D380" s="6">
        <v>135.70089285714283</v>
      </c>
      <c r="E380" s="5">
        <v>0</v>
      </c>
      <c r="F380" s="5" t="s">
        <v>50</v>
      </c>
      <c r="H380" s="5" t="str">
        <v>Rural+Urban</v>
      </c>
      <c r="I380" s="5">
        <v>156.00081967213126</v>
      </c>
      <c r="J380" s="5">
        <v>143.89999999999998</v>
      </c>
      <c r="K380" s="6">
        <v>154.5321428571429</v>
      </c>
      <c r="L380" s="5">
        <v>0</v>
      </c>
      <c r="M380" s="5" t="s">
        <v>49</v>
      </c>
      <c r="O380" t="s">
        <v>6</v>
      </c>
    </row>
    <row r="381" spans="1:30" x14ac:dyDescent="0.35">
      <c r="O381" t="s">
        <v>7</v>
      </c>
    </row>
    <row r="382" spans="1:30" ht="29" x14ac:dyDescent="0.35">
      <c r="A382" s="4" t="s">
        <v>5</v>
      </c>
      <c r="B382" s="5" t="s">
        <v>48</v>
      </c>
      <c r="C382" s="5" t="s">
        <v>49</v>
      </c>
      <c r="D382" s="5" t="s">
        <v>50</v>
      </c>
      <c r="E382" s="5" t="s">
        <v>51</v>
      </c>
      <c r="F382" s="5" t="s">
        <v>52</v>
      </c>
      <c r="H382" s="4" t="s">
        <v>6</v>
      </c>
      <c r="I382" s="5" t="s">
        <v>48</v>
      </c>
      <c r="J382" s="5" t="s">
        <v>49</v>
      </c>
      <c r="K382" s="5" t="s">
        <v>50</v>
      </c>
      <c r="L382" s="5" t="s">
        <v>51</v>
      </c>
      <c r="M382" s="5" t="s">
        <v>52</v>
      </c>
      <c r="O382" t="s">
        <v>8</v>
      </c>
    </row>
    <row r="383" spans="1:30" x14ac:dyDescent="0.35">
      <c r="A383" s="5" t="s">
        <v>30</v>
      </c>
      <c r="B383" s="5">
        <v>140.03577235772366</v>
      </c>
      <c r="C383" s="6">
        <v>135.69999999999999</v>
      </c>
      <c r="D383" s="6">
        <v>139.15714285714287</v>
      </c>
      <c r="E383" s="5">
        <v>0</v>
      </c>
      <c r="F383" s="5" t="s">
        <v>49</v>
      </c>
      <c r="H383" s="5" t="s">
        <v>30</v>
      </c>
      <c r="I383" s="5">
        <v>140.62601626016257</v>
      </c>
      <c r="J383" s="6">
        <v>141.9</v>
      </c>
      <c r="K383" s="6">
        <v>140.24821428571423</v>
      </c>
      <c r="L383" s="5">
        <v>0</v>
      </c>
      <c r="M383" s="5" t="s">
        <v>49</v>
      </c>
      <c r="O383" t="s">
        <v>9</v>
      </c>
    </row>
    <row r="384" spans="1:30" x14ac:dyDescent="0.35">
      <c r="A384" s="5" t="s">
        <v>33</v>
      </c>
      <c r="B384" s="5">
        <v>141.68373983739841</v>
      </c>
      <c r="C384" s="6">
        <v>134.5</v>
      </c>
      <c r="D384" s="6">
        <v>140.75535714285712</v>
      </c>
      <c r="E384" s="5">
        <v>0</v>
      </c>
      <c r="F384" s="5" t="s">
        <v>49</v>
      </c>
      <c r="H384" s="5" t="s">
        <v>33</v>
      </c>
      <c r="I384" s="5">
        <v>139.96585365853664</v>
      </c>
      <c r="J384" s="6">
        <v>139.75</v>
      </c>
      <c r="K384" s="6">
        <v>139.55892857142859</v>
      </c>
      <c r="L384" s="5">
        <v>0</v>
      </c>
      <c r="M384" s="5" t="s">
        <v>50</v>
      </c>
      <c r="O384" t="s">
        <v>10</v>
      </c>
    </row>
    <row r="385" spans="1:15" x14ac:dyDescent="0.35">
      <c r="A385" s="5" t="s">
        <v>34</v>
      </c>
      <c r="B385" s="5">
        <v>140.67317073170727</v>
      </c>
      <c r="C385" s="5">
        <v>135.35</v>
      </c>
      <c r="D385" s="6">
        <v>139.75624999999997</v>
      </c>
      <c r="E385" s="5">
        <v>0</v>
      </c>
      <c r="F385" s="5" t="s">
        <v>49</v>
      </c>
      <c r="H385" s="5" t="s">
        <v>34</v>
      </c>
      <c r="I385" s="5">
        <v>140.38373983739834</v>
      </c>
      <c r="J385" s="5">
        <v>141.05000000000001</v>
      </c>
      <c r="K385" s="6">
        <v>139.99642857142859</v>
      </c>
      <c r="L385" s="5">
        <v>0</v>
      </c>
      <c r="M385" s="5" t="s">
        <v>49</v>
      </c>
      <c r="O385" t="s">
        <v>53</v>
      </c>
    </row>
    <row r="386" spans="1:15" x14ac:dyDescent="0.35">
      <c r="O386" t="s">
        <v>12</v>
      </c>
    </row>
    <row r="387" spans="1:15" x14ac:dyDescent="0.35">
      <c r="A387" s="4" t="s">
        <v>7</v>
      </c>
      <c r="B387" s="5" t="s">
        <v>48</v>
      </c>
      <c r="C387" s="5" t="s">
        <v>49</v>
      </c>
      <c r="D387" s="5" t="s">
        <v>50</v>
      </c>
      <c r="E387" s="5" t="s">
        <v>51</v>
      </c>
      <c r="F387" s="5" t="s">
        <v>52</v>
      </c>
      <c r="H387" s="4" t="s">
        <v>8</v>
      </c>
      <c r="I387" s="5" t="s">
        <v>48</v>
      </c>
      <c r="J387" s="5" t="s">
        <v>49</v>
      </c>
      <c r="K387" s="5" t="s">
        <v>50</v>
      </c>
      <c r="L387" s="5" t="s">
        <v>51</v>
      </c>
      <c r="M387" s="5" t="s">
        <v>52</v>
      </c>
      <c r="O387" t="s">
        <v>13</v>
      </c>
    </row>
    <row r="388" spans="1:15" x14ac:dyDescent="0.35">
      <c r="A388" s="5" t="s">
        <v>30</v>
      </c>
      <c r="B388" s="5">
        <v>136.19024390243908</v>
      </c>
      <c r="C388" s="6">
        <v>123</v>
      </c>
      <c r="D388" s="6">
        <v>133.86339285714288</v>
      </c>
      <c r="E388" s="5">
        <v>0</v>
      </c>
      <c r="F388" s="5" t="s">
        <v>49</v>
      </c>
      <c r="H388" s="5" t="s">
        <v>30</v>
      </c>
      <c r="I388" s="5">
        <v>141.08699186991873</v>
      </c>
      <c r="J388" s="6">
        <v>142.69999999999999</v>
      </c>
      <c r="K388" s="6">
        <v>141.11160714285717</v>
      </c>
      <c r="L388" s="5">
        <f>COUNTIFS($A$3:$A$374,$H388,$I$3:$I$374,"")</f>
        <v>0</v>
      </c>
      <c r="M388" s="5" t="s">
        <v>49</v>
      </c>
      <c r="O388" t="s">
        <v>54</v>
      </c>
    </row>
    <row r="389" spans="1:15" x14ac:dyDescent="0.35">
      <c r="A389" s="5" t="s">
        <v>33</v>
      </c>
      <c r="B389" s="5">
        <v>127.2569105691057</v>
      </c>
      <c r="C389" s="6">
        <v>116.30000000000001</v>
      </c>
      <c r="D389" s="6">
        <v>125.30803571428574</v>
      </c>
      <c r="E389" s="5">
        <v>0</v>
      </c>
      <c r="F389" s="5" t="s">
        <v>49</v>
      </c>
      <c r="H389" s="5" t="s">
        <v>33</v>
      </c>
      <c r="I389" s="5">
        <v>140.58780487804876</v>
      </c>
      <c r="J389" s="6">
        <v>137.6</v>
      </c>
      <c r="K389" s="6">
        <v>140.27321428571426</v>
      </c>
      <c r="L389" s="5">
        <f>COUNTIFS($A$3:$A$374,$H389,$I$3:$I$374,"")</f>
        <v>0</v>
      </c>
      <c r="M389" s="5" t="s">
        <v>49</v>
      </c>
    </row>
    <row r="390" spans="1:15" x14ac:dyDescent="0.35">
      <c r="A390" s="5" t="s">
        <v>34</v>
      </c>
      <c r="B390" s="5">
        <v>132.9317073170732</v>
      </c>
      <c r="C390" s="5">
        <v>120.6</v>
      </c>
      <c r="D390" s="6">
        <v>130.7473214285715</v>
      </c>
      <c r="E390" s="5">
        <v>0</v>
      </c>
      <c r="F390" s="5" t="s">
        <v>49</v>
      </c>
      <c r="H390" s="5" t="s">
        <v>34</v>
      </c>
      <c r="I390" s="5">
        <v>140.84796747967485</v>
      </c>
      <c r="J390" s="5">
        <v>141.65</v>
      </c>
      <c r="K390" s="6">
        <v>140.68571428571431</v>
      </c>
      <c r="L390" s="5">
        <f>COUNTIFS($A$3:$A$374,$H390,$I$3:$I$374,"")</f>
        <v>0</v>
      </c>
      <c r="M390" s="5" t="s">
        <v>49</v>
      </c>
      <c r="O390" t="s">
        <v>56</v>
      </c>
    </row>
    <row r="391" spans="1:15" x14ac:dyDescent="0.35">
      <c r="O391" t="s">
        <v>16</v>
      </c>
    </row>
    <row r="392" spans="1:15" ht="29" x14ac:dyDescent="0.35">
      <c r="A392" s="4" t="s">
        <v>9</v>
      </c>
      <c r="B392" s="5" t="s">
        <v>48</v>
      </c>
      <c r="C392" s="5" t="s">
        <v>49</v>
      </c>
      <c r="D392" s="5" t="s">
        <v>50</v>
      </c>
      <c r="E392" s="5" t="s">
        <v>51</v>
      </c>
      <c r="F392" s="5" t="s">
        <v>52</v>
      </c>
      <c r="H392" s="4" t="s">
        <v>10</v>
      </c>
      <c r="I392" s="5" t="s">
        <v>48</v>
      </c>
      <c r="J392" s="5" t="s">
        <v>49</v>
      </c>
      <c r="K392" s="5" t="s">
        <v>50</v>
      </c>
      <c r="L392" s="5" t="s">
        <v>51</v>
      </c>
      <c r="M392" s="5" t="s">
        <v>52</v>
      </c>
    </row>
    <row r="393" spans="1:15" x14ac:dyDescent="0.35">
      <c r="A393" s="5" t="s">
        <v>30</v>
      </c>
      <c r="B393" s="5">
        <v>148.62276422764231</v>
      </c>
      <c r="C393" s="6">
        <v>149.05000000000001</v>
      </c>
      <c r="D393" s="6">
        <v>147.53392857142856</v>
      </c>
      <c r="E393" s="5">
        <v>0</v>
      </c>
      <c r="F393" s="5" t="s">
        <v>49</v>
      </c>
      <c r="G393" s="2"/>
      <c r="H393" s="5" t="s">
        <v>30</v>
      </c>
      <c r="I393" s="5">
        <v>141.23902439024391</v>
      </c>
      <c r="J393" s="6">
        <v>139.5</v>
      </c>
      <c r="K393" s="6">
        <v>141.16071428571428</v>
      </c>
      <c r="L393" s="5">
        <v>0</v>
      </c>
      <c r="M393" s="5" t="s">
        <v>49</v>
      </c>
      <c r="O393" t="s">
        <v>57</v>
      </c>
    </row>
    <row r="394" spans="1:15" x14ac:dyDescent="0.35">
      <c r="A394" s="5" t="s">
        <v>33</v>
      </c>
      <c r="B394" s="5">
        <v>164.62113821138215</v>
      </c>
      <c r="C394" s="6">
        <v>165.05</v>
      </c>
      <c r="D394" s="6">
        <v>163.51964285714288</v>
      </c>
      <c r="E394" s="5">
        <v>0</v>
      </c>
      <c r="F394" s="5" t="s">
        <v>49</v>
      </c>
      <c r="G394" s="2"/>
      <c r="H394" s="5" t="s">
        <v>33</v>
      </c>
      <c r="I394" s="5">
        <v>141.65528455284556</v>
      </c>
      <c r="J394" s="6">
        <v>138.14999999999998</v>
      </c>
      <c r="K394" s="6">
        <v>140.85446428571433</v>
      </c>
      <c r="L394" s="5">
        <v>0</v>
      </c>
      <c r="M394" s="5" t="s">
        <v>49</v>
      </c>
      <c r="O394" t="s">
        <v>17</v>
      </c>
    </row>
    <row r="395" spans="1:15" x14ac:dyDescent="0.35">
      <c r="A395" s="5" t="s">
        <v>34</v>
      </c>
      <c r="B395" s="5">
        <v>154.01219512195132</v>
      </c>
      <c r="C395" s="5">
        <v>154.65</v>
      </c>
      <c r="D395" s="6">
        <v>152.9598214285715</v>
      </c>
      <c r="E395" s="5">
        <v>0</v>
      </c>
      <c r="F395" s="5" t="s">
        <v>49</v>
      </c>
      <c r="G395" s="2"/>
      <c r="H395" s="5" t="s">
        <v>34</v>
      </c>
      <c r="I395" s="5">
        <v>141.39837398373979</v>
      </c>
      <c r="J395" s="5">
        <v>138.69999999999999</v>
      </c>
      <c r="K395" s="6">
        <v>141.21607142857138</v>
      </c>
      <c r="L395" s="5">
        <v>0</v>
      </c>
      <c r="M395" s="5" t="s">
        <v>49</v>
      </c>
      <c r="O395" t="s">
        <v>18</v>
      </c>
    </row>
    <row r="397" spans="1:15" x14ac:dyDescent="0.35">
      <c r="A397" s="5" t="s">
        <v>11</v>
      </c>
      <c r="B397" s="5" t="s">
        <v>48</v>
      </c>
      <c r="C397" s="5" t="s">
        <v>49</v>
      </c>
      <c r="D397" s="5" t="s">
        <v>50</v>
      </c>
      <c r="E397" s="5" t="s">
        <v>51</v>
      </c>
      <c r="F397" s="5" t="s">
        <v>52</v>
      </c>
      <c r="H397" s="5" t="s">
        <v>12</v>
      </c>
      <c r="I397" s="5" t="s">
        <v>48</v>
      </c>
      <c r="J397" s="5" t="s">
        <v>49</v>
      </c>
      <c r="K397" s="5" t="s">
        <v>50</v>
      </c>
      <c r="L397" s="5" t="s">
        <v>51</v>
      </c>
      <c r="M397" s="5" t="s">
        <v>52</v>
      </c>
      <c r="O397" t="s">
        <v>20</v>
      </c>
    </row>
    <row r="398" spans="1:15" x14ac:dyDescent="0.35">
      <c r="A398" s="5" t="s">
        <v>30</v>
      </c>
      <c r="B398" s="5">
        <v>110.97073170731707</v>
      </c>
      <c r="C398" s="6">
        <v>112.94999999999999</v>
      </c>
      <c r="D398" s="6">
        <v>111.16071428571431</v>
      </c>
      <c r="E398" s="5">
        <v>0</v>
      </c>
      <c r="F398" s="5" t="s">
        <v>49</v>
      </c>
      <c r="G398" s="2"/>
      <c r="H398" s="5" t="s">
        <v>30</v>
      </c>
      <c r="I398" s="5">
        <v>143.65691056910572</v>
      </c>
      <c r="J398" s="6">
        <v>136.85000000000002</v>
      </c>
      <c r="K398" s="6">
        <v>141.73571428571429</v>
      </c>
      <c r="L398" s="5">
        <v>0</v>
      </c>
      <c r="M398" s="5" t="s">
        <v>49</v>
      </c>
      <c r="O398" t="s">
        <v>20</v>
      </c>
    </row>
    <row r="399" spans="1:15" x14ac:dyDescent="0.35">
      <c r="A399" s="5" t="s">
        <v>33</v>
      </c>
      <c r="B399" s="5">
        <v>110.85203252032518</v>
      </c>
      <c r="C399" s="6">
        <v>114.25</v>
      </c>
      <c r="D399" s="6">
        <v>111.22499999999998</v>
      </c>
      <c r="E399" s="5">
        <v>0</v>
      </c>
      <c r="F399" s="5" t="s">
        <v>49</v>
      </c>
      <c r="G399" s="2"/>
      <c r="H399" s="5" t="s">
        <v>33</v>
      </c>
      <c r="I399" s="5">
        <v>145.59756097560975</v>
      </c>
      <c r="J399" s="6">
        <v>141.1</v>
      </c>
      <c r="K399" s="6">
        <v>144.28035714285713</v>
      </c>
      <c r="L399" s="5">
        <v>0</v>
      </c>
      <c r="M399" s="5" t="s">
        <v>49</v>
      </c>
    </row>
    <row r="400" spans="1:15" x14ac:dyDescent="0.35">
      <c r="A400" s="5" t="s">
        <v>34</v>
      </c>
      <c r="B400" s="5">
        <v>110.95203252032525</v>
      </c>
      <c r="C400" s="6">
        <v>113.35</v>
      </c>
      <c r="D400" s="6">
        <v>111.20803571428576</v>
      </c>
      <c r="E400" s="5">
        <v>0</v>
      </c>
      <c r="F400" s="5" t="s">
        <v>49</v>
      </c>
      <c r="G400" s="2"/>
      <c r="H400" s="5" t="s">
        <v>34</v>
      </c>
      <c r="I400" s="5">
        <v>144.31219512195125</v>
      </c>
      <c r="J400" s="6">
        <v>138.75</v>
      </c>
      <c r="K400" s="6">
        <v>142.59285714285713</v>
      </c>
      <c r="L400" s="5">
        <v>0</v>
      </c>
      <c r="M400" s="5" t="s">
        <v>49</v>
      </c>
      <c r="O400" t="s">
        <v>58</v>
      </c>
    </row>
    <row r="401" spans="1:15" x14ac:dyDescent="0.35">
      <c r="O401" t="s">
        <v>22</v>
      </c>
    </row>
    <row r="402" spans="1:15" x14ac:dyDescent="0.35">
      <c r="A402" s="5" t="s">
        <v>13</v>
      </c>
      <c r="B402" s="5" t="s">
        <v>48</v>
      </c>
      <c r="C402" s="5" t="s">
        <v>49</v>
      </c>
      <c r="D402" s="5" t="s">
        <v>50</v>
      </c>
      <c r="E402" s="5" t="s">
        <v>51</v>
      </c>
      <c r="F402" s="5" t="s">
        <v>52</v>
      </c>
      <c r="H402" s="5" t="s">
        <v>14</v>
      </c>
      <c r="I402" s="5" t="s">
        <v>48</v>
      </c>
      <c r="J402" s="5" t="s">
        <v>49</v>
      </c>
      <c r="K402" s="5" t="s">
        <v>50</v>
      </c>
      <c r="L402" s="5" t="s">
        <v>51</v>
      </c>
      <c r="M402" s="5" t="s">
        <v>52</v>
      </c>
    </row>
    <row r="403" spans="1:15" x14ac:dyDescent="0.35">
      <c r="A403" s="5" t="s">
        <v>30</v>
      </c>
      <c r="B403" s="5">
        <v>137.20162601626018</v>
      </c>
      <c r="C403" s="6">
        <v>131.64999999999998</v>
      </c>
      <c r="D403" s="6">
        <v>136.43392857142859</v>
      </c>
      <c r="E403" s="5">
        <v>0</v>
      </c>
      <c r="F403" s="5" t="s">
        <v>49</v>
      </c>
      <c r="H403" s="5" t="s">
        <v>30</v>
      </c>
      <c r="I403" s="5">
        <v>148.9270491803278</v>
      </c>
      <c r="J403" s="6">
        <v>151.55000000000001</v>
      </c>
      <c r="K403" s="6">
        <v>148.21517857142854</v>
      </c>
      <c r="L403" s="5">
        <v>0</v>
      </c>
      <c r="M403" s="5" t="s">
        <v>49</v>
      </c>
      <c r="O403" t="s">
        <v>59</v>
      </c>
    </row>
    <row r="404" spans="1:15" x14ac:dyDescent="0.35">
      <c r="A404" s="5" t="s">
        <v>33</v>
      </c>
      <c r="B404" s="5">
        <v>130.60569105691056</v>
      </c>
      <c r="C404" s="6">
        <v>125.9</v>
      </c>
      <c r="D404" s="6">
        <v>129.83392857142857</v>
      </c>
      <c r="E404" s="5">
        <v>0</v>
      </c>
      <c r="F404" s="5" t="s">
        <v>49</v>
      </c>
      <c r="H404" s="5" t="s">
        <v>33</v>
      </c>
      <c r="I404" s="5">
        <v>149.24836065573771</v>
      </c>
      <c r="J404" s="6">
        <v>146.55000000000001</v>
      </c>
      <c r="K404" s="6">
        <v>148.17410714285714</v>
      </c>
      <c r="L404" s="5">
        <v>0</v>
      </c>
      <c r="M404" s="5" t="s">
        <v>49</v>
      </c>
      <c r="O404" t="s">
        <v>21</v>
      </c>
    </row>
    <row r="405" spans="1:15" x14ac:dyDescent="0.35">
      <c r="A405" s="5" t="s">
        <v>34</v>
      </c>
      <c r="B405" s="5">
        <v>134.47154471544715</v>
      </c>
      <c r="C405" s="6">
        <v>129.05000000000001</v>
      </c>
      <c r="D405" s="6">
        <v>133.70357142857148</v>
      </c>
      <c r="E405" s="5">
        <v>0</v>
      </c>
      <c r="F405" s="5" t="s">
        <v>49</v>
      </c>
      <c r="H405" s="5" t="s">
        <v>34</v>
      </c>
      <c r="I405" s="5">
        <v>149.0860655737705</v>
      </c>
      <c r="J405" s="6">
        <v>149.25</v>
      </c>
      <c r="K405" s="6">
        <v>148.20714285714283</v>
      </c>
      <c r="L405" s="5">
        <v>0</v>
      </c>
      <c r="M405" s="5" t="s">
        <v>49</v>
      </c>
    </row>
    <row r="406" spans="1:15" x14ac:dyDescent="0.35">
      <c r="O406" t="s">
        <v>60</v>
      </c>
    </row>
    <row r="407" spans="1:15" x14ac:dyDescent="0.35">
      <c r="A407" s="5" t="s">
        <v>15</v>
      </c>
      <c r="B407" s="5" t="s">
        <v>48</v>
      </c>
      <c r="C407" s="5" t="s">
        <v>49</v>
      </c>
      <c r="D407" s="5" t="s">
        <v>50</v>
      </c>
      <c r="E407" s="5" t="s">
        <v>51</v>
      </c>
      <c r="F407" s="5" t="s">
        <v>52</v>
      </c>
      <c r="H407" s="5" t="s">
        <v>16</v>
      </c>
      <c r="I407" s="5" t="s">
        <v>48</v>
      </c>
      <c r="J407" s="5" t="s">
        <v>49</v>
      </c>
      <c r="K407" s="5" t="s">
        <v>50</v>
      </c>
      <c r="L407" s="5" t="s">
        <v>51</v>
      </c>
      <c r="M407" s="5" t="s">
        <v>52</v>
      </c>
      <c r="O407" t="s">
        <v>23</v>
      </c>
    </row>
    <row r="408" spans="1:15" x14ac:dyDescent="0.35">
      <c r="A408" s="5" t="s">
        <v>30</v>
      </c>
      <c r="B408" s="5">
        <v>141.56991869918699</v>
      </c>
      <c r="C408" s="6">
        <v>138.64999999999998</v>
      </c>
      <c r="D408" s="6">
        <v>141.27410714285713</v>
      </c>
      <c r="E408" s="5">
        <v>0</v>
      </c>
      <c r="F408" s="5" t="s">
        <v>49</v>
      </c>
      <c r="H408" s="5" t="s">
        <v>30</v>
      </c>
      <c r="I408" s="5">
        <v>153.68934426229515</v>
      </c>
      <c r="J408" s="6">
        <v>153.25</v>
      </c>
      <c r="K408" s="6">
        <v>153.00803571428568</v>
      </c>
      <c r="L408" s="5">
        <v>0</v>
      </c>
      <c r="M408" s="5" t="s">
        <v>50</v>
      </c>
    </row>
    <row r="409" spans="1:15" x14ac:dyDescent="0.35">
      <c r="A409" s="5" t="s">
        <v>33</v>
      </c>
      <c r="B409" s="5">
        <v>143.63252032520319</v>
      </c>
      <c r="C409" s="6">
        <v>138.1</v>
      </c>
      <c r="D409" s="6">
        <v>143.16160714285712</v>
      </c>
      <c r="E409" s="5">
        <v>0</v>
      </c>
      <c r="F409" s="5" t="s">
        <v>49</v>
      </c>
      <c r="H409" s="5" t="s">
        <v>33</v>
      </c>
      <c r="I409" s="5">
        <v>157.69590163934421</v>
      </c>
      <c r="J409" s="6">
        <v>157.35</v>
      </c>
      <c r="K409" s="6">
        <v>157.11249999999998</v>
      </c>
      <c r="L409" s="5">
        <v>0</v>
      </c>
      <c r="M409" s="5" t="s">
        <v>50</v>
      </c>
      <c r="O409" t="s">
        <v>61</v>
      </c>
    </row>
    <row r="410" spans="1:15" x14ac:dyDescent="0.35">
      <c r="A410" s="5" t="s">
        <v>34</v>
      </c>
      <c r="B410" s="5">
        <v>142.32764227642281</v>
      </c>
      <c r="C410" s="6">
        <v>138.30000000000001</v>
      </c>
      <c r="D410" s="6">
        <v>141.9696428571429</v>
      </c>
      <c r="E410" s="5">
        <v>0</v>
      </c>
      <c r="F410" s="5" t="s">
        <v>49</v>
      </c>
      <c r="H410" s="5" t="s">
        <v>34</v>
      </c>
      <c r="I410" s="5">
        <v>154.77213114754096</v>
      </c>
      <c r="J410" s="6">
        <v>154.44999999999999</v>
      </c>
      <c r="K410" s="6">
        <v>154.11785714285716</v>
      </c>
      <c r="L410" s="5">
        <v>0</v>
      </c>
      <c r="M410" s="5" t="s">
        <v>50</v>
      </c>
      <c r="O410" t="s">
        <v>24</v>
      </c>
    </row>
    <row r="412" spans="1:15" x14ac:dyDescent="0.35">
      <c r="A412" s="5" t="s">
        <v>17</v>
      </c>
      <c r="B412" s="5" t="s">
        <v>48</v>
      </c>
      <c r="C412" s="5" t="s">
        <v>49</v>
      </c>
      <c r="D412" s="5" t="s">
        <v>50</v>
      </c>
      <c r="E412" s="5" t="s">
        <v>51</v>
      </c>
      <c r="F412" s="5" t="s">
        <v>52</v>
      </c>
      <c r="H412" s="5" t="s">
        <v>18</v>
      </c>
      <c r="I412" s="5" t="s">
        <v>48</v>
      </c>
      <c r="J412" s="5" t="s">
        <v>49</v>
      </c>
      <c r="K412" s="5" t="s">
        <v>50</v>
      </c>
      <c r="L412" s="5" t="s">
        <v>51</v>
      </c>
      <c r="M412" s="5" t="s">
        <v>52</v>
      </c>
      <c r="O412" t="s">
        <v>62</v>
      </c>
    </row>
    <row r="413" spans="1:15" x14ac:dyDescent="0.35">
      <c r="A413" s="5" t="s">
        <v>30</v>
      </c>
      <c r="B413" s="5">
        <v>145.94590163934427</v>
      </c>
      <c r="C413" s="6">
        <v>148.25</v>
      </c>
      <c r="D413" s="6">
        <v>144.97410714285718</v>
      </c>
      <c r="E413" s="5">
        <v>0</v>
      </c>
      <c r="F413" s="5" t="s">
        <v>49</v>
      </c>
      <c r="H413" s="5" t="s">
        <v>30</v>
      </c>
      <c r="I413" s="5">
        <v>141.92131147540988</v>
      </c>
      <c r="J413" s="6">
        <v>148.25</v>
      </c>
      <c r="K413" s="6">
        <v>140.77410714285719</v>
      </c>
      <c r="L413" s="5">
        <f>COUNTIFS($A$3:$A$374,$A413,$S$3:$S$374,"")</f>
        <v>0</v>
      </c>
      <c r="M413" s="5" t="s">
        <v>49</v>
      </c>
      <c r="O413" t="s">
        <v>25</v>
      </c>
    </row>
    <row r="414" spans="1:15" x14ac:dyDescent="0.35">
      <c r="A414" s="5" t="s">
        <v>33</v>
      </c>
      <c r="B414" s="5">
        <v>138.87131147540984</v>
      </c>
      <c r="C414" s="6">
        <v>135.80000000000001</v>
      </c>
      <c r="D414" s="6">
        <v>137.81696428571428</v>
      </c>
      <c r="E414" s="5">
        <v>0</v>
      </c>
      <c r="F414" s="5" t="s">
        <v>49</v>
      </c>
      <c r="H414" s="5" t="s">
        <v>33</v>
      </c>
      <c r="I414" s="5">
        <v>129.31721311475414</v>
      </c>
      <c r="J414" s="6">
        <v>135.80000000000001</v>
      </c>
      <c r="K414" s="6">
        <v>128.16250000000005</v>
      </c>
      <c r="L414" s="5">
        <f>COUNTIFS($A$3:$A$374,$A414,$S$3:$S$374,"")</f>
        <v>0</v>
      </c>
      <c r="M414" s="5" t="s">
        <v>49</v>
      </c>
    </row>
    <row r="415" spans="1:15" x14ac:dyDescent="0.35">
      <c r="A415" s="5" t="s">
        <v>34</v>
      </c>
      <c r="B415" s="5">
        <v>143.17377049180331</v>
      </c>
      <c r="C415" s="6">
        <v>143.30000000000001</v>
      </c>
      <c r="D415" s="6">
        <v>142.17142857142861</v>
      </c>
      <c r="E415" s="5">
        <v>0</v>
      </c>
      <c r="F415" s="5" t="s">
        <v>49</v>
      </c>
      <c r="H415" s="5" t="s">
        <v>34</v>
      </c>
      <c r="I415" s="5">
        <v>136.69344262295084</v>
      </c>
      <c r="J415" s="6">
        <v>143.30000000000001</v>
      </c>
      <c r="K415" s="6">
        <v>135.54196428571427</v>
      </c>
      <c r="L415" s="5">
        <f>COUNTIFS($A$3:$A$374,$A415,$S$3:$S$374,"")</f>
        <v>0</v>
      </c>
      <c r="M415" s="5" t="s">
        <v>49</v>
      </c>
      <c r="O415" t="s">
        <v>26</v>
      </c>
    </row>
    <row r="416" spans="1:15" x14ac:dyDescent="0.35">
      <c r="O416" t="s">
        <v>26</v>
      </c>
    </row>
    <row r="417" spans="1:15" x14ac:dyDescent="0.35">
      <c r="A417" s="5" t="s">
        <v>19</v>
      </c>
      <c r="B417" s="5" t="s">
        <v>48</v>
      </c>
      <c r="C417" s="5" t="s">
        <v>49</v>
      </c>
      <c r="D417" s="5" t="s">
        <v>50</v>
      </c>
      <c r="E417" s="5" t="s">
        <v>51</v>
      </c>
      <c r="F417" s="5" t="s">
        <v>52</v>
      </c>
      <c r="H417" s="5" t="s">
        <v>21</v>
      </c>
      <c r="I417" s="5" t="s">
        <v>48</v>
      </c>
      <c r="J417" s="5" t="s">
        <v>49</v>
      </c>
      <c r="K417" s="5" t="s">
        <v>50</v>
      </c>
      <c r="L417" s="5" t="s">
        <v>51</v>
      </c>
      <c r="M417" s="5" t="s">
        <v>52</v>
      </c>
    </row>
    <row r="418" spans="1:15" x14ac:dyDescent="0.35">
      <c r="A418" s="5" t="s">
        <v>30</v>
      </c>
      <c r="B418" s="5">
        <v>145.37786885245899</v>
      </c>
      <c r="C418" s="6">
        <v>148.25</v>
      </c>
      <c r="D418" s="6">
        <v>144.38035714285712</v>
      </c>
      <c r="E418" s="5">
        <f>COUNTIFS($A$3:$A$374,$A418,$T$3:$T$374,"")</f>
        <v>0</v>
      </c>
      <c r="F418" s="5" t="s">
        <v>49</v>
      </c>
      <c r="H418" s="5" t="s">
        <v>30</v>
      </c>
      <c r="I418" s="5">
        <f>AVERAGEIF($A$3:$A$374,$H418,$V$3:$V$374)</f>
        <v>140.52032520325199</v>
      </c>
      <c r="J418" s="6" cm="1">
        <f t="array" ref="J418">MEDIAN(IF($A$3:$A$374=$H418,$V$3:$V$374))</f>
        <v>142.5</v>
      </c>
      <c r="K418" s="6" cm="1">
        <f t="array" ref="K418">TRIMMEAN(IF($A$3:$A$374=$H418,$T$3:$T$374),0.1)</f>
        <v>144.96874999999997</v>
      </c>
      <c r="L418" s="5">
        <f>COUNTIFS($A$3:$A$374,$H418,$V$3:$V$374,"")</f>
        <v>0</v>
      </c>
      <c r="M418" s="5" t="s">
        <v>48</v>
      </c>
      <c r="O418" t="s">
        <v>63</v>
      </c>
    </row>
    <row r="419" spans="1:15" x14ac:dyDescent="0.35">
      <c r="A419" s="5" t="s">
        <v>33</v>
      </c>
      <c r="B419" s="5">
        <v>137.41557377049182</v>
      </c>
      <c r="C419" s="6">
        <v>135.80000000000001</v>
      </c>
      <c r="D419" s="6">
        <v>136.34732142857143</v>
      </c>
      <c r="E419" s="5">
        <f>COUNTIFS($A$3:$A$374,$A419,$T$3:$T$374,"")</f>
        <v>0</v>
      </c>
      <c r="F419" s="5" t="s">
        <v>49</v>
      </c>
      <c r="H419" s="5" t="s">
        <v>33</v>
      </c>
      <c r="I419" s="5">
        <f>AVERAGEIF($A$3:$A$374,$H419,$V$3:$V$374)</f>
        <v>131.73306451612905</v>
      </c>
      <c r="J419" s="6" cm="1">
        <f t="array" ref="J419">MEDIAN(IF($A$3:$A$374=$H419,$V$3:$V$374))</f>
        <v>125.65</v>
      </c>
      <c r="K419" s="6" cm="1">
        <f t="array" ref="K419">TRIMMEAN(IF($A$3:$A$374=$H419,$T$3:$T$374),0.1)</f>
        <v>137.04017857142858</v>
      </c>
      <c r="L419" s="5">
        <f>COUNTIFS($A$3:$A$374,$H419,$V$3:$V$374,"")</f>
        <v>0</v>
      </c>
      <c r="M419" s="5" t="s">
        <v>49</v>
      </c>
      <c r="O419" t="s">
        <v>27</v>
      </c>
    </row>
    <row r="420" spans="1:15" x14ac:dyDescent="0.35">
      <c r="A420" s="5" t="s">
        <v>34</v>
      </c>
      <c r="B420" s="5">
        <v>142.22950819672127</v>
      </c>
      <c r="C420" s="6">
        <v>143.30000000000001</v>
      </c>
      <c r="D420" s="6">
        <v>141.20446428571424</v>
      </c>
      <c r="E420" s="5">
        <f>COUNTIFS($A$3:$A$374,$A420,$T$3:$T$374,"")</f>
        <v>0</v>
      </c>
      <c r="F420" s="5" t="s">
        <v>49</v>
      </c>
      <c r="H420" s="5" t="s">
        <v>34</v>
      </c>
      <c r="I420" s="5">
        <f>AVERAGEIF($A$3:$A$374,$H420,$V$3:$V$374)</f>
        <v>137.22137096774196</v>
      </c>
      <c r="J420" s="6" cm="1">
        <f t="array" ref="J420">MEDIAN(IF($A$3:$A$374=$H420,$V$3:$V$374))</f>
        <v>136.57499999999999</v>
      </c>
      <c r="K420" s="6" cm="1">
        <f t="array" ref="K420">TRIMMEAN(IF($A$3:$A$374=$H420,$T$3:$T$374),0.1)</f>
        <v>141.65624999999997</v>
      </c>
      <c r="L420" s="5">
        <f>COUNTIFS($A$3:$A$374,$H420,$V$3:$V$374,"")</f>
        <v>0</v>
      </c>
      <c r="M420" s="5" t="s">
        <v>49</v>
      </c>
    </row>
    <row r="422" spans="1:15" x14ac:dyDescent="0.35">
      <c r="A422" s="5" t="s">
        <v>22</v>
      </c>
      <c r="B422" s="5" t="s">
        <v>48</v>
      </c>
      <c r="C422" s="5" t="s">
        <v>49</v>
      </c>
      <c r="D422" s="5" t="s">
        <v>50</v>
      </c>
      <c r="E422" s="5" t="s">
        <v>51</v>
      </c>
      <c r="F422" s="5" t="s">
        <v>52</v>
      </c>
      <c r="H422" s="5" t="s">
        <v>23</v>
      </c>
      <c r="I422" s="5" t="s">
        <v>48</v>
      </c>
      <c r="J422" s="5" t="s">
        <v>49</v>
      </c>
      <c r="K422" s="5" t="s">
        <v>50</v>
      </c>
      <c r="L422" s="5" t="s">
        <v>51</v>
      </c>
      <c r="M422" s="5" t="s">
        <v>52</v>
      </c>
    </row>
    <row r="423" spans="1:15" x14ac:dyDescent="0.35">
      <c r="A423" s="5" t="s">
        <v>30</v>
      </c>
      <c r="B423" s="5">
        <v>140.02704918032779</v>
      </c>
      <c r="C423" s="6">
        <v>139.65</v>
      </c>
      <c r="D423" s="6">
        <v>139.21339285714285</v>
      </c>
      <c r="E423" s="5">
        <f>COUNTIFS($A$3:$A$374,$A423,$W$3:$W$374,"")</f>
        <v>0</v>
      </c>
      <c r="F423" s="5" t="s">
        <v>50</v>
      </c>
      <c r="H423" s="5" t="s">
        <v>30</v>
      </c>
      <c r="I423" s="6">
        <v>141.38617886178861</v>
      </c>
      <c r="J423" s="6">
        <v>136.14999999999998</v>
      </c>
      <c r="K423" s="6">
        <v>140.62678571428575</v>
      </c>
      <c r="L423" s="5">
        <f>COUNTIFS($A$3:$A$374,$H423,$X$3:$X$374,"")</f>
        <v>0</v>
      </c>
      <c r="M423" s="5" t="s">
        <v>49</v>
      </c>
      <c r="N423" s="2"/>
    </row>
    <row r="424" spans="1:15" x14ac:dyDescent="0.35">
      <c r="A424" s="5" t="s">
        <v>33</v>
      </c>
      <c r="B424" s="5">
        <v>133.216393442623</v>
      </c>
      <c r="C424" s="6">
        <v>129.4</v>
      </c>
      <c r="D424" s="6">
        <v>132.29285714285717</v>
      </c>
      <c r="E424" s="5">
        <f>COUNTIFS($A$3:$A$374,$A424,$W$3:$W$374,"")</f>
        <v>0</v>
      </c>
      <c r="F424" s="5" t="s">
        <v>49</v>
      </c>
      <c r="H424" s="5" t="s">
        <v>33</v>
      </c>
      <c r="I424" s="6">
        <v>135.13983739837394</v>
      </c>
      <c r="J424" s="6">
        <v>129.4</v>
      </c>
      <c r="K424" s="6">
        <v>134.06517857142856</v>
      </c>
      <c r="L424" s="5">
        <f>COUNTIFS($A$3:$A$374,$H424,$X$3:$X$374,"")</f>
        <v>0</v>
      </c>
      <c r="M424" s="5" t="s">
        <v>49</v>
      </c>
      <c r="N424" s="2"/>
    </row>
    <row r="425" spans="1:15" x14ac:dyDescent="0.35">
      <c r="A425" s="5" t="s">
        <v>34</v>
      </c>
      <c r="B425" s="5">
        <v>136.81721311475411</v>
      </c>
      <c r="C425" s="6">
        <v>134.80000000000001</v>
      </c>
      <c r="D425" s="6">
        <v>135.95178571428568</v>
      </c>
      <c r="E425" s="5">
        <f>COUNTIFS($A$3:$A$374,$A425,$W$3:$W$374,"")</f>
        <v>0</v>
      </c>
      <c r="F425" s="5" t="s">
        <v>49</v>
      </c>
      <c r="H425" s="5" t="s">
        <v>34</v>
      </c>
      <c r="I425" s="6">
        <v>139.02439024390242</v>
      </c>
      <c r="J425" s="6">
        <v>133.55000000000001</v>
      </c>
      <c r="K425" s="6">
        <v>138.14732142857139</v>
      </c>
      <c r="L425" s="5">
        <f>COUNTIFS($A$3:$A$374,$H425,$X$3:$X$374,"")</f>
        <v>0</v>
      </c>
      <c r="M425" s="5" t="s">
        <v>49</v>
      </c>
      <c r="N425" s="2"/>
    </row>
    <row r="427" spans="1:15" x14ac:dyDescent="0.35">
      <c r="A427" s="5" t="s">
        <v>24</v>
      </c>
      <c r="B427" s="5" t="s">
        <v>48</v>
      </c>
      <c r="C427" s="5" t="s">
        <v>49</v>
      </c>
      <c r="D427" s="5" t="s">
        <v>50</v>
      </c>
      <c r="E427" s="5" t="s">
        <v>51</v>
      </c>
      <c r="F427" s="5" t="s">
        <v>52</v>
      </c>
      <c r="H427" s="5" t="s">
        <v>25</v>
      </c>
      <c r="I427" s="5" t="s">
        <v>48</v>
      </c>
      <c r="J427" s="5" t="s">
        <v>49</v>
      </c>
      <c r="K427" s="5" t="s">
        <v>50</v>
      </c>
      <c r="L427" s="5" t="s">
        <v>51</v>
      </c>
      <c r="M427" s="5" t="s">
        <v>52</v>
      </c>
    </row>
    <row r="428" spans="1:15" x14ac:dyDescent="0.35">
      <c r="A428" s="5" t="s">
        <v>30</v>
      </c>
      <c r="B428" s="5">
        <v>130.19344262295087</v>
      </c>
      <c r="C428" s="6">
        <v>122.35</v>
      </c>
      <c r="D428" s="6">
        <v>125.56036036036036</v>
      </c>
      <c r="E428" s="5">
        <v>0</v>
      </c>
      <c r="F428" s="5" t="s">
        <v>49</v>
      </c>
      <c r="H428" s="5" t="s">
        <v>30</v>
      </c>
      <c r="I428" s="6">
        <v>136.75161290322583</v>
      </c>
      <c r="J428" s="6">
        <v>134.15</v>
      </c>
      <c r="K428" s="6">
        <v>136.5633928571429</v>
      </c>
      <c r="L428" s="5">
        <f>COUNTIFS($A$3:$A$374,$H428,$Z$3:$Z$374,"")</f>
        <v>0</v>
      </c>
      <c r="M428" s="5" t="s">
        <v>49</v>
      </c>
    </row>
    <row r="429" spans="1:15" x14ac:dyDescent="0.35">
      <c r="A429" s="5" t="s">
        <v>33</v>
      </c>
      <c r="B429" s="5">
        <v>124.26065573770495</v>
      </c>
      <c r="C429" s="6">
        <v>116</v>
      </c>
      <c r="D429" s="6">
        <v>129.06071428571434</v>
      </c>
      <c r="E429" s="5">
        <v>0</v>
      </c>
      <c r="F429" s="5" t="s">
        <v>49</v>
      </c>
      <c r="H429" s="5" t="s">
        <v>33</v>
      </c>
      <c r="I429" s="6">
        <v>131.12983870967744</v>
      </c>
      <c r="J429" s="6">
        <v>126.05000000000001</v>
      </c>
      <c r="K429" s="6">
        <v>130.59732142857146</v>
      </c>
      <c r="L429" s="5">
        <f>COUNTIFS($A$3:$A$374,$H429,$Z$3:$Z$374,"")</f>
        <v>0</v>
      </c>
      <c r="M429" s="5" t="s">
        <v>49</v>
      </c>
    </row>
    <row r="430" spans="1:15" x14ac:dyDescent="0.35">
      <c r="A430" s="5" t="s">
        <v>34</v>
      </c>
      <c r="B430" s="5">
        <v>127.05737704918033</v>
      </c>
      <c r="C430" s="6">
        <v>118.9</v>
      </c>
      <c r="D430" s="6">
        <v>123.07410714285719</v>
      </c>
      <c r="E430" s="5">
        <v>0</v>
      </c>
      <c r="F430" s="5" t="s">
        <v>49</v>
      </c>
      <c r="H430" s="5" t="s">
        <v>34</v>
      </c>
      <c r="I430" s="6">
        <v>133.5935483870968</v>
      </c>
      <c r="J430" s="6">
        <v>129.52499999999998</v>
      </c>
      <c r="K430" s="6">
        <v>133.21339285714288</v>
      </c>
      <c r="L430" s="5">
        <f>COUNTIFS($A$3:$A$374,$H430,$Z$3:$Z$374,"")</f>
        <v>0</v>
      </c>
      <c r="M430" s="5" t="s">
        <v>49</v>
      </c>
    </row>
    <row r="432" spans="1:15" x14ac:dyDescent="0.35">
      <c r="A432" s="5" t="s">
        <v>27</v>
      </c>
      <c r="B432" s="5" t="s">
        <v>48</v>
      </c>
      <c r="C432" s="5" t="s">
        <v>49</v>
      </c>
      <c r="D432" s="5" t="s">
        <v>50</v>
      </c>
      <c r="E432" s="5" t="s">
        <v>51</v>
      </c>
      <c r="F432" s="5" t="s">
        <v>52</v>
      </c>
      <c r="H432" s="5" t="s">
        <v>27</v>
      </c>
      <c r="I432" s="5" t="s">
        <v>48</v>
      </c>
      <c r="J432" s="5" t="s">
        <v>49</v>
      </c>
      <c r="K432" s="5" t="s">
        <v>50</v>
      </c>
      <c r="L432" s="5" t="s">
        <v>51</v>
      </c>
      <c r="M432" s="5" t="s">
        <v>52</v>
      </c>
    </row>
    <row r="433" spans="1:13" x14ac:dyDescent="0.35">
      <c r="A433" s="5" t="s">
        <v>30</v>
      </c>
      <c r="B433" s="6">
        <v>142.96721311475412</v>
      </c>
      <c r="C433" s="6">
        <v>141.5</v>
      </c>
      <c r="D433" s="6">
        <v>142.43928571428577</v>
      </c>
      <c r="E433" s="5">
        <f>COUNTIFS($A$3:$A$374,$A433,$AA$3:$AA$374,"")</f>
        <v>0</v>
      </c>
      <c r="F433" s="5" t="s">
        <v>49</v>
      </c>
      <c r="H433" s="5" t="s">
        <v>30</v>
      </c>
      <c r="I433" s="6">
        <v>133.53225806451616</v>
      </c>
      <c r="J433" s="6">
        <v>128.47499999999999</v>
      </c>
      <c r="K433" s="6">
        <v>132.63482142857146</v>
      </c>
      <c r="L433" s="5">
        <v>0</v>
      </c>
      <c r="M433" s="5" t="s">
        <v>49</v>
      </c>
    </row>
    <row r="434" spans="1:13" x14ac:dyDescent="0.35">
      <c r="A434" s="5" t="s">
        <v>33</v>
      </c>
      <c r="B434" s="6">
        <v>139.48196721311479</v>
      </c>
      <c r="C434" s="6">
        <v>136.89999999999998</v>
      </c>
      <c r="D434" s="6">
        <v>138.95535714285717</v>
      </c>
      <c r="E434" s="5">
        <f>COUNTIFS($A$3:$A$374,$A434,$AA$3:$AA$374,"")</f>
        <v>0</v>
      </c>
      <c r="F434" s="5" t="s">
        <v>49</v>
      </c>
      <c r="H434" s="5" t="s">
        <v>33</v>
      </c>
      <c r="I434" s="6">
        <v>132.92822580645159</v>
      </c>
      <c r="J434" s="6">
        <v>125.35</v>
      </c>
      <c r="K434" s="6">
        <v>131.91607142857143</v>
      </c>
      <c r="L434" s="5">
        <v>0</v>
      </c>
      <c r="M434" s="5" t="s">
        <v>49</v>
      </c>
    </row>
    <row r="435" spans="1:13" x14ac:dyDescent="0.35">
      <c r="A435" s="5" t="s">
        <v>34</v>
      </c>
      <c r="B435" s="6">
        <v>140.94426229508201</v>
      </c>
      <c r="C435" s="6">
        <v>138.80000000000001</v>
      </c>
      <c r="D435" s="6">
        <v>140.41785714285714</v>
      </c>
      <c r="E435" s="5">
        <f>COUNTIFS($A$3:$A$374,$A435,$AA$3:$AA$374,"")</f>
        <v>0</v>
      </c>
      <c r="F435" s="5" t="s">
        <v>49</v>
      </c>
      <c r="H435" s="5" t="s">
        <v>34</v>
      </c>
      <c r="I435" s="6">
        <v>133.27580645161288</v>
      </c>
      <c r="J435" s="6">
        <v>127.175</v>
      </c>
      <c r="K435" s="6">
        <v>132.33035714285714</v>
      </c>
      <c r="L435" s="5">
        <v>0</v>
      </c>
      <c r="M435" s="5" t="s">
        <v>49</v>
      </c>
    </row>
    <row r="437" spans="1:13" x14ac:dyDescent="0.35">
      <c r="A437" s="5" t="s">
        <v>28</v>
      </c>
      <c r="B437" s="5" t="s">
        <v>48</v>
      </c>
      <c r="C437" s="5" t="s">
        <v>49</v>
      </c>
      <c r="D437" s="5" t="s">
        <v>50</v>
      </c>
      <c r="E437" s="5" t="s">
        <v>51</v>
      </c>
      <c r="F437" s="5" t="s">
        <v>52</v>
      </c>
      <c r="H437" s="5" t="s">
        <v>29</v>
      </c>
      <c r="I437" s="5" t="s">
        <v>48</v>
      </c>
      <c r="J437" s="5" t="s">
        <v>49</v>
      </c>
      <c r="K437" s="5" t="s">
        <v>50</v>
      </c>
      <c r="L437" s="5" t="s">
        <v>51</v>
      </c>
      <c r="M437" s="5" t="s">
        <v>52</v>
      </c>
    </row>
    <row r="438" spans="1:13" x14ac:dyDescent="0.35">
      <c r="A438" s="5" t="s">
        <v>30</v>
      </c>
      <c r="B438" s="6">
        <v>136.73548387096781</v>
      </c>
      <c r="C438" s="6">
        <v>132.20000000000002</v>
      </c>
      <c r="D438" s="6">
        <v>136.25982142857146</v>
      </c>
      <c r="E438" s="5">
        <v>0</v>
      </c>
      <c r="F438" s="5" t="s">
        <v>49</v>
      </c>
      <c r="H438" s="5" t="s">
        <v>30</v>
      </c>
      <c r="I438" s="6">
        <f>AVERAGEIF($A$3:$A$374,$H438,$AD$3:$AD$374)</f>
        <v>140.78709677419354</v>
      </c>
      <c r="J438" s="6" cm="1">
        <f t="array" aca="1" ref="J438" ca="1">MEDIAN(IF($A$3:$A$374=$H438,$AD$3:$AD$374))</f>
        <v>139</v>
      </c>
      <c r="K438" s="6" cm="1">
        <f t="array" aca="1" ref="K438" ca="1">TRIMMEAN(IF($A$3:$A$374=$H438,$AD$3:$AD$374),0.1)</f>
        <v>140.60625000000002</v>
      </c>
      <c r="L438" s="5">
        <f>COUNTIFS($A$3:$A$374,$H438,$AD$3:$AD$374,"")</f>
        <v>0</v>
      </c>
      <c r="M438" s="5" t="s">
        <v>49</v>
      </c>
    </row>
    <row r="439" spans="1:13" x14ac:dyDescent="0.35">
      <c r="A439" s="5" t="s">
        <v>33</v>
      </c>
      <c r="B439" s="6">
        <v>131.50403225806448</v>
      </c>
      <c r="C439" s="6">
        <v>125.625</v>
      </c>
      <c r="D439" s="6">
        <v>130.8741071428571</v>
      </c>
      <c r="E439" s="5">
        <v>0</v>
      </c>
      <c r="F439" s="5" t="s">
        <v>49</v>
      </c>
      <c r="G439" s="2"/>
      <c r="H439" s="5" t="s">
        <v>33</v>
      </c>
      <c r="I439" s="6">
        <f>AVERAGEIF($A$3:$A$374,$H439,$AD$3:$AD$374)</f>
        <v>138.17822580645159</v>
      </c>
      <c r="J439" s="6" cm="1">
        <f t="array" aca="1" ref="J439" ca="1">MEDIAN(IF($A$3:$A$374=$H439,$AD$3:$AD$374))</f>
        <v>134.07499999999999</v>
      </c>
      <c r="K439" s="6" cm="1">
        <f t="array" aca="1" ref="K439" ca="1">TRIMMEAN(IF($A$3:$A$374=$H439,$AD$3:$AD$374),0.1)</f>
        <v>137.85714285714283</v>
      </c>
      <c r="L439" s="5">
        <f>COUNTIFS($A$3:$A$374,$H439,$AD$3:$AD$374,"")</f>
        <v>0</v>
      </c>
      <c r="M439" s="5" t="s">
        <v>49</v>
      </c>
    </row>
    <row r="440" spans="1:13" x14ac:dyDescent="0.35">
      <c r="A440" s="5" t="s">
        <v>34</v>
      </c>
      <c r="B440" s="6">
        <v>134.20483870967743</v>
      </c>
      <c r="C440" s="6">
        <v>128.97499999999999</v>
      </c>
      <c r="D440" s="6">
        <v>133.65446428571431</v>
      </c>
      <c r="E440" s="5">
        <v>0</v>
      </c>
      <c r="F440" s="5" t="s">
        <v>49</v>
      </c>
      <c r="G440" s="2"/>
      <c r="H440" s="5" t="s">
        <v>34</v>
      </c>
      <c r="I440" s="6">
        <f ca="1">AVERAGEIF($A$3:$A$374,$H440,$AD$3:$AD$374)</f>
        <v>139.60569105691056</v>
      </c>
      <c r="J440" s="6" cm="1">
        <f t="array" aca="1" ref="J440" ca="1">MEDIAN(IF($A$3:$A$374=$H440,$AD$3:$AD$374))</f>
        <v>136.80000000000001</v>
      </c>
      <c r="K440" s="6" cm="1">
        <f t="array" aca="1" ref="K440" ca="1">TRIMMEAN(IF($A$3:$A$374=$H440,$AD$3:$AD$374),0.1)</f>
        <v>139.09196428571428</v>
      </c>
      <c r="L440" s="5">
        <f ca="1">COUNTIFS($A$3:$A$374,$H440,$AD$3:$AD$374,"")</f>
        <v>1</v>
      </c>
      <c r="M440" s="5" t="s">
        <v>49</v>
      </c>
    </row>
    <row r="442" spans="1:13" x14ac:dyDescent="0.35">
      <c r="H442" s="5" t="s">
        <v>20</v>
      </c>
      <c r="I442" s="5" t="s">
        <v>48</v>
      </c>
      <c r="J442" s="5" t="s">
        <v>49</v>
      </c>
      <c r="K442" s="5" t="s">
        <v>50</v>
      </c>
      <c r="L442" s="5" t="s">
        <v>51</v>
      </c>
      <c r="M442" s="5" t="s">
        <v>52</v>
      </c>
    </row>
    <row r="443" spans="1:13" x14ac:dyDescent="0.35">
      <c r="G443" s="2"/>
      <c r="H443" s="5" t="s">
        <v>30</v>
      </c>
      <c r="I443" s="6" t="e">
        <f>AVERAGEIF($A$3:$A$374,$H443,$U$3:$U$374)</f>
        <v>#DIV/0!</v>
      </c>
      <c r="J443" s="6" t="e" cm="1">
        <f t="array" ref="J443">MEDIAN(IF($A$3:$A$374=$H443,$U$3:$U$374))</f>
        <v>#NUM!</v>
      </c>
      <c r="K443" s="6" t="e" cm="1">
        <f t="array" ref="K443">TRIMMEAN(IF($A$3:$A$374=$H443,$U$3:$U$374),0.1)</f>
        <v>#NUM!</v>
      </c>
      <c r="L443" s="5">
        <f>COUNTIFS($A$3:$A$374,$H443,$U$3:$U$374,"")</f>
        <v>0</v>
      </c>
      <c r="M443" s="5"/>
    </row>
    <row r="444" spans="1:13" x14ac:dyDescent="0.35">
      <c r="G444" s="2"/>
      <c r="H444" s="5" t="s">
        <v>33</v>
      </c>
      <c r="I444" s="6">
        <f>AVERAGEIF($A$3:$A$374,$H444,$AD$3:$AD$374)</f>
        <v>138.17822580645159</v>
      </c>
      <c r="J444" s="6" cm="1">
        <f t="array" ref="J444">MEDIAN(IF($A$3:$A$374=$H444,$U$3:$U$374))</f>
        <v>141.1875</v>
      </c>
      <c r="K444" s="6" cm="1">
        <f t="array" ref="K444">TRIMMEAN(IF($A$3:$A$374=$H444,$U$3:$U$374),0.1)</f>
        <v>139.45424107142861</v>
      </c>
      <c r="L444" s="5">
        <f>COUNTIFS($A$3:$A$374,$H444,$AD$3:$AD$374,"")</f>
        <v>0</v>
      </c>
      <c r="M444" s="5"/>
    </row>
    <row r="445" spans="1:13" x14ac:dyDescent="0.35">
      <c r="G445" s="2"/>
      <c r="H445" s="5" t="s">
        <v>34</v>
      </c>
      <c r="I445" s="6">
        <f ca="1">AVERAGEIF($A$3:$A$374,$H445,$AD$3:$AD$374)</f>
        <v>139.60569105691056</v>
      </c>
      <c r="J445" s="6" cm="1">
        <f t="array" ref="J445">MEDIAN(IF($A$3:$A$374=$H445,$U$3:$U$374))</f>
        <v>141.07500000000002</v>
      </c>
      <c r="K445" s="6" cm="1">
        <f t="array" ref="K445">TRIMMEAN(IF($A$3:$A$374=$H445,$U$3:$U$374),0.1)</f>
        <v>139.45758928571431</v>
      </c>
      <c r="L445" s="5">
        <f ca="1">COUNTIFS($A$3:$A$374,$H445,$AD$3:$AD$374,"")</f>
        <v>0</v>
      </c>
      <c r="M445" s="5"/>
    </row>
    <row r="459" spans="7:7" x14ac:dyDescent="0.35">
      <c r="G459" s="2"/>
    </row>
  </sheetData>
  <autoFilter ref="A1:AD374" xr:uid="{932D1585-3009-45D2-98F5-AA4C1C376F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BC95-44E6-4990-8174-16C7B1601D75}">
  <dimension ref="A2:M30"/>
  <sheetViews>
    <sheetView zoomScaleNormal="100" workbookViewId="0">
      <selection activeCell="J5" sqref="J5"/>
    </sheetView>
  </sheetViews>
  <sheetFormatPr defaultRowHeight="14.5" x14ac:dyDescent="0.35"/>
  <cols>
    <col min="1" max="1" width="31.7265625" bestFit="1" customWidth="1"/>
    <col min="2" max="2" width="15.6328125" customWidth="1"/>
    <col min="5" max="5" width="11.36328125" bestFit="1" customWidth="1"/>
    <col min="8" max="8" width="13.26953125" customWidth="1"/>
    <col min="9" max="12" width="16.7265625" customWidth="1"/>
    <col min="13" max="13" width="11.36328125" bestFit="1" customWidth="1"/>
  </cols>
  <sheetData>
    <row r="2" spans="1:13" x14ac:dyDescent="0.35">
      <c r="B2">
        <v>2023</v>
      </c>
    </row>
    <row r="3" spans="1:13" x14ac:dyDescent="0.35">
      <c r="B3" t="s">
        <v>38</v>
      </c>
    </row>
    <row r="4" spans="1:13" x14ac:dyDescent="0.35">
      <c r="A4" t="s">
        <v>71</v>
      </c>
      <c r="B4" t="s">
        <v>72</v>
      </c>
      <c r="C4" t="s">
        <v>30</v>
      </c>
      <c r="D4" t="s">
        <v>33</v>
      </c>
      <c r="E4" t="s">
        <v>34</v>
      </c>
      <c r="H4" t="s">
        <v>0</v>
      </c>
      <c r="I4" s="5" t="s">
        <v>72</v>
      </c>
      <c r="J4" s="5" t="s">
        <v>30</v>
      </c>
      <c r="K4" s="5" t="s">
        <v>33</v>
      </c>
      <c r="L4" s="5" t="s">
        <v>34</v>
      </c>
      <c r="M4" s="5" t="str">
        <f>$H$5</f>
        <v>Rural+Urban</v>
      </c>
    </row>
    <row r="5" spans="1:13" x14ac:dyDescent="0.35">
      <c r="A5" t="s">
        <v>3</v>
      </c>
      <c r="B5" t="str">
        <f>VLOOKUP($A5,'[1]EDA and Analysis1'!$A:$B,2,0)</f>
        <v>Basic Food Items</v>
      </c>
      <c r="C5" cm="1">
        <f t="array" ref="C5">INDEX('Cleaned Data'!$D$3:$AD$374,
MATCH(1,
('Cleaned Data'!$A$3:$A$374 = 'Q1 CPI Basket Contri Analysis'!$C$4)*
('Cleaned Data'!$B$3:$B$374 ='Q1 CPI Basket Contri Analysis'!$B$2)*
('Cleaned Data'!$C$3:$C$374 = 'Q1 CPI Basket Contri Analysis'!$B$3),
0),MATCH($A5,'Cleaned Data'!$D$1:$AD$1,0))</f>
        <v>173.2</v>
      </c>
      <c r="D5" cm="1">
        <f t="array" ref="D5">INDEX('Cleaned Data'!$D$3:$AD$374,
MATCH(1,
('Cleaned Data'!$A$3:$A$374 = $D$4)*
('Cleaned Data'!$B$3:$B$374 ='Q1 CPI Basket Contri Analysis'!$B$2)*
('Cleaned Data'!$C$3:$C$374 = 'Q1 CPI Basket Contri Analysis'!$B$3),
0),MATCH($A5,'Cleaned Data'!$D$1:$AD$1,0))</f>
        <v>174.7</v>
      </c>
      <c r="E5" cm="1">
        <f t="array" ref="E5">INDEX('Cleaned Data'!$D$3:$AD$374,
MATCH(1,
('Cleaned Data'!$A$3:$A$374 = $E$4)*
('Cleaned Data'!$B$3:$B$374 ='Q1 CPI Basket Contri Analysis'!$B$2)*
('Cleaned Data'!$C$3:$C$374 = 'Q1 CPI Basket Contri Analysis'!$B$3),
0),MATCH($A5,'Cleaned Data'!$D$1:$AD$1,0))</f>
        <v>173.7</v>
      </c>
      <c r="H5" t="s">
        <v>34</v>
      </c>
      <c r="I5" s="5" t="s">
        <v>76</v>
      </c>
      <c r="J5" s="17">
        <f>SUMIF($B$5:$B$30,$I5,$C$5:$C$30)</f>
        <v>1622.2000000000003</v>
      </c>
      <c r="K5" s="17">
        <f t="shared" ref="K5:L9" si="0">SUMIF($B$5:$B$30,$I5,D$5:D$30)</f>
        <v>1664.2</v>
      </c>
      <c r="L5" s="17">
        <f t="shared" si="0"/>
        <v>1637.5</v>
      </c>
      <c r="M5" s="17">
        <f>INDEX($J$5:$L$9,
MATCH($I5,$I$5:$I$9,0),
MATCH($H$5,$J$4:$L$4,0))</f>
        <v>1637.5</v>
      </c>
    </row>
    <row r="6" spans="1:13" x14ac:dyDescent="0.35">
      <c r="A6" t="s">
        <v>4</v>
      </c>
      <c r="B6" t="str">
        <f>VLOOKUP($A6,'[1]EDA and Analysis1'!$A:$B,2,0)</f>
        <v>Basic Food Items</v>
      </c>
      <c r="C6" cm="1">
        <f t="array" ref="C6">INDEX('Cleaned Data'!$D$3:$AD$374,
MATCH(1,
('Cleaned Data'!$A$3:$A$374 = 'Q1 CPI Basket Contri Analysis'!$C$4)*
('Cleaned Data'!$B$3:$B$374 ='Q1 CPI Basket Contri Analysis'!$B$2)*
('Cleaned Data'!$C$3:$C$374 = 'Q1 CPI Basket Contri Analysis'!$B$3),
0),MATCH($A6,'Cleaned Data'!$D$1:$AD$1,0))</f>
        <v>211.5</v>
      </c>
      <c r="D6" cm="1">
        <f t="array" ref="D6">INDEX('Cleaned Data'!$D$3:$AD$374,
MATCH(1,
('Cleaned Data'!$A$3:$A$374 = $D$4)*
('Cleaned Data'!$B$3:$B$374 ='Q1 CPI Basket Contri Analysis'!$B$2)*
('Cleaned Data'!$C$3:$C$374 = 'Q1 CPI Basket Contri Analysis'!$B$3),
0),MATCH($A6,'Cleaned Data'!$D$1:$AD$1,0))</f>
        <v>219.4</v>
      </c>
      <c r="E6" cm="1">
        <f t="array" ref="E6">INDEX('Cleaned Data'!$D$3:$AD$374,
MATCH(1,
('Cleaned Data'!$A$3:$A$374 = $E$4)*
('Cleaned Data'!$B$3:$B$374 ='Q1 CPI Basket Contri Analysis'!$B$2)*
('Cleaned Data'!$C$3:$C$374 = 'Q1 CPI Basket Contri Analysis'!$B$3),
0),MATCH($A6,'Cleaned Data'!$D$1:$AD$1,0))</f>
        <v>214.3</v>
      </c>
      <c r="I6" s="5" t="s">
        <v>75</v>
      </c>
      <c r="J6" s="17">
        <f>SUMIF($B$5:$B$30,$I6,$C$5:$C$30)</f>
        <v>868.4</v>
      </c>
      <c r="K6" s="17">
        <f t="shared" si="0"/>
        <v>875.09999999999991</v>
      </c>
      <c r="L6" s="17">
        <f t="shared" si="0"/>
        <v>870.4</v>
      </c>
      <c r="M6" s="17">
        <f>INDEX($J$5:$L$9,
MATCH($I6,$I$5:$I$9,0),
MATCH($H$5,$J$4:$L$4,0))</f>
        <v>870.4</v>
      </c>
    </row>
    <row r="7" spans="1:13" x14ac:dyDescent="0.35">
      <c r="A7" t="s">
        <v>5</v>
      </c>
      <c r="B7" t="str">
        <f>VLOOKUP($A7,'[1]EDA and Analysis1'!$A:$B,2,0)</f>
        <v>Basic Food Items</v>
      </c>
      <c r="C7" cm="1">
        <f t="array" ref="C7">INDEX('Cleaned Data'!$D$3:$AD$374,
MATCH(1,
('Cleaned Data'!$A$3:$A$374 = 'Q1 CPI Basket Contri Analysis'!$C$4)*
('Cleaned Data'!$B$3:$B$374 ='Q1 CPI Basket Contri Analysis'!$B$2)*
('Cleaned Data'!$C$3:$C$374 = 'Q1 CPI Basket Contri Analysis'!$B$3),
0),MATCH($A7,'Cleaned Data'!$D$1:$AD$1,0))</f>
        <v>171</v>
      </c>
      <c r="D7" cm="1">
        <f t="array" ref="D7">INDEX('Cleaned Data'!$D$3:$AD$374,
MATCH(1,
('Cleaned Data'!$A$3:$A$374 = $D$4)*
('Cleaned Data'!$B$3:$B$374 ='Q1 CPI Basket Contri Analysis'!$B$2)*
('Cleaned Data'!$C$3:$C$374 = 'Q1 CPI Basket Contri Analysis'!$B$3),
0),MATCH($A7,'Cleaned Data'!$D$1:$AD$1,0))</f>
        <v>176.7</v>
      </c>
      <c r="E7" cm="1">
        <f t="array" ref="E7">INDEX('Cleaned Data'!$D$3:$AD$374,
MATCH(1,
('Cleaned Data'!$A$3:$A$374 = $E$4)*
('Cleaned Data'!$B$3:$B$374 ='Q1 CPI Basket Contri Analysis'!$B$2)*
('Cleaned Data'!$C$3:$C$374 = 'Q1 CPI Basket Contri Analysis'!$B$3),
0),MATCH($A7,'Cleaned Data'!$D$1:$AD$1,0))</f>
        <v>173.2</v>
      </c>
      <c r="I7" s="5" t="s">
        <v>19</v>
      </c>
      <c r="J7" s="17">
        <f>SUMIF($B$5:$B$30,$I7,$C$5:$C$30)</f>
        <v>569.90000000000009</v>
      </c>
      <c r="K7" s="17">
        <f t="shared" si="0"/>
        <v>528.70000000000005</v>
      </c>
      <c r="L7" s="17">
        <f t="shared" si="0"/>
        <v>553.20000000000005</v>
      </c>
      <c r="M7" s="17">
        <f>INDEX($J$5:$L$9,
MATCH($I7,$I$5:$I$9,0),
MATCH($H$5,$J$4:$L$4,0))</f>
        <v>553.20000000000005</v>
      </c>
    </row>
    <row r="8" spans="1:13" x14ac:dyDescent="0.35">
      <c r="A8" t="s">
        <v>6</v>
      </c>
      <c r="B8" t="str">
        <f>VLOOKUP($A8,'[1]EDA and Analysis1'!$A:$B,2,0)</f>
        <v>Basic Food Items</v>
      </c>
      <c r="C8" cm="1">
        <f t="array" ref="C8">INDEX('Cleaned Data'!$D$3:$AD$374,
MATCH(1,
('Cleaned Data'!$A$3:$A$374 = 'Q1 CPI Basket Contri Analysis'!$C$4)*
('Cleaned Data'!$B$3:$B$374 ='Q1 CPI Basket Contri Analysis'!$B$2)*
('Cleaned Data'!$C$3:$C$374 = 'Q1 CPI Basket Contri Analysis'!$B$3),
0),MATCH($A8,'Cleaned Data'!$D$1:$AD$1,0))</f>
        <v>179.6</v>
      </c>
      <c r="D8" cm="1">
        <f t="array" ref="D8">INDEX('Cleaned Data'!$D$3:$AD$374,
MATCH(1,
('Cleaned Data'!$A$3:$A$374 = $D$4)*
('Cleaned Data'!$B$3:$B$374 ='Q1 CPI Basket Contri Analysis'!$B$2)*
('Cleaned Data'!$C$3:$C$374 = 'Q1 CPI Basket Contri Analysis'!$B$3),
0),MATCH($A8,'Cleaned Data'!$D$1:$AD$1,0))</f>
        <v>179.4</v>
      </c>
      <c r="E8" cm="1">
        <f t="array" ref="E8">INDEX('Cleaned Data'!$D$3:$AD$374,
MATCH(1,
('Cleaned Data'!$A$3:$A$374 = $E$4)*
('Cleaned Data'!$B$3:$B$374 ='Q1 CPI Basket Contri Analysis'!$B$2)*
('Cleaned Data'!$C$3:$C$374 = 'Q1 CPI Basket Contri Analysis'!$B$3),
0),MATCH($A8,'Cleaned Data'!$D$1:$AD$1,0))</f>
        <v>179.5</v>
      </c>
      <c r="I8" s="5" t="s">
        <v>77</v>
      </c>
      <c r="J8" s="17">
        <f>SUMIF($B$5:$B$30,$I8,$C$5:$C$30)</f>
        <v>362.3</v>
      </c>
      <c r="K8" s="17">
        <f t="shared" si="0"/>
        <v>529.1</v>
      </c>
      <c r="L8" s="17">
        <f t="shared" si="0"/>
        <v>533.59999999999991</v>
      </c>
      <c r="M8" s="17">
        <f>INDEX($J$5:$L$9,
MATCH($I8,$I$5:$I$9,0),
MATCH($H$5,$J$4:$L$4,0))</f>
        <v>533.59999999999991</v>
      </c>
    </row>
    <row r="9" spans="1:13" x14ac:dyDescent="0.35">
      <c r="A9" t="s">
        <v>7</v>
      </c>
      <c r="B9" t="str">
        <f>VLOOKUP($A9,'[1]EDA and Analysis1'!$A:$B,2,0)</f>
        <v>Basic Food Items</v>
      </c>
      <c r="C9" cm="1">
        <f t="array" ref="C9">INDEX('Cleaned Data'!$D$3:$AD$374,
MATCH(1,
('Cleaned Data'!$A$3:$A$374 = 'Q1 CPI Basket Contri Analysis'!$C$4)*
('Cleaned Data'!$B$3:$B$374 ='Q1 CPI Basket Contri Analysis'!$B$2)*
('Cleaned Data'!$C$3:$C$374 = 'Q1 CPI Basket Contri Analysis'!$B$3),
0),MATCH($A9,'Cleaned Data'!$D$1:$AD$1,0))</f>
        <v>173.3</v>
      </c>
      <c r="D9" cm="1">
        <f t="array" ref="D9">INDEX('Cleaned Data'!$D$3:$AD$374,
MATCH(1,
('Cleaned Data'!$A$3:$A$374 = $D$4)*
('Cleaned Data'!$B$3:$B$374 ='Q1 CPI Basket Contri Analysis'!$B$2)*
('Cleaned Data'!$C$3:$C$374 = 'Q1 CPI Basket Contri Analysis'!$B$3),
0),MATCH($A9,'Cleaned Data'!$D$1:$AD$1,0))</f>
        <v>164.4</v>
      </c>
      <c r="E9" cm="1">
        <f t="array" ref="E9">INDEX('Cleaned Data'!$D$3:$AD$374,
MATCH(1,
('Cleaned Data'!$A$3:$A$374 = $E$4)*
('Cleaned Data'!$B$3:$B$374 ='Q1 CPI Basket Contri Analysis'!$B$2)*
('Cleaned Data'!$C$3:$C$374 = 'Q1 CPI Basket Contri Analysis'!$B$3),
0),MATCH($A9,'Cleaned Data'!$D$1:$AD$1,0))</f>
        <v>170</v>
      </c>
      <c r="I9" s="5" t="s">
        <v>78</v>
      </c>
      <c r="J9" s="17">
        <f>SUMIF($B$5:$B$30,$I9,$C$5:$C$30)</f>
        <v>1076</v>
      </c>
      <c r="K9" s="17">
        <f t="shared" si="0"/>
        <v>1043.8</v>
      </c>
      <c r="L9" s="17">
        <f t="shared" si="0"/>
        <v>1059.7</v>
      </c>
      <c r="M9" s="17">
        <f>INDEX($J$5:$L$9,
MATCH($I9,$I$5:$I$9,0),
MATCH($H$5,$J$4:$L$4,0))</f>
        <v>1059.7</v>
      </c>
    </row>
    <row r="10" spans="1:13" x14ac:dyDescent="0.35">
      <c r="A10" t="s">
        <v>8</v>
      </c>
      <c r="B10" t="str">
        <f>VLOOKUP($A10,'[1]EDA and Analysis1'!$A:$B,2,0)</f>
        <v>Basic Food Items</v>
      </c>
      <c r="C10" cm="1">
        <f t="array" ref="C10">INDEX('Cleaned Data'!$D$3:$AD$374,
MATCH(1,
('Cleaned Data'!$A$3:$A$374 = 'Q1 CPI Basket Contri Analysis'!$C$4)*
('Cleaned Data'!$B$3:$B$374 ='Q1 CPI Basket Contri Analysis'!$B$2)*
('Cleaned Data'!$C$3:$C$374 = 'Q1 CPI Basket Contri Analysis'!$B$3),
0),MATCH($A10,'Cleaned Data'!$D$1:$AD$1,0))</f>
        <v>169</v>
      </c>
      <c r="D10" cm="1">
        <f t="array" ref="D10">INDEX('Cleaned Data'!$D$3:$AD$374,
MATCH(1,
('Cleaned Data'!$A$3:$A$374 = $D$4)*
('Cleaned Data'!$B$3:$B$374 ='Q1 CPI Basket Contri Analysis'!$B$2)*
('Cleaned Data'!$C$3:$C$374 = 'Q1 CPI Basket Contri Analysis'!$B$3),
0),MATCH($A10,'Cleaned Data'!$D$1:$AD$1,0))</f>
        <v>175.8</v>
      </c>
      <c r="E10" cm="1">
        <f t="array" ref="E10">INDEX('Cleaned Data'!$D$3:$AD$374,
MATCH(1,
('Cleaned Data'!$A$3:$A$374 = $E$4)*
('Cleaned Data'!$B$3:$B$374 ='Q1 CPI Basket Contri Analysis'!$B$2)*
('Cleaned Data'!$C$3:$C$374 = 'Q1 CPI Basket Contri Analysis'!$B$3),
0),MATCH($A10,'Cleaned Data'!$D$1:$AD$1,0))</f>
        <v>172.2</v>
      </c>
    </row>
    <row r="11" spans="1:13" x14ac:dyDescent="0.35">
      <c r="A11" t="s">
        <v>9</v>
      </c>
      <c r="B11" t="str">
        <f>VLOOKUP($A11,'[1]EDA and Analysis1'!$A:$B,2,0)</f>
        <v>Basic Food Items</v>
      </c>
      <c r="C11" cm="1">
        <f t="array" ref="C11">INDEX('Cleaned Data'!$D$3:$AD$374,
MATCH(1,
('Cleaned Data'!$A$3:$A$374 = 'Q1 CPI Basket Contri Analysis'!$C$4)*
('Cleaned Data'!$B$3:$B$374 ='Q1 CPI Basket Contri Analysis'!$B$2)*
('Cleaned Data'!$C$3:$C$374 = 'Q1 CPI Basket Contri Analysis'!$B$3),
0),MATCH($A11,'Cleaned Data'!$D$1:$AD$1,0))</f>
        <v>148.69999999999999</v>
      </c>
      <c r="D11" cm="1">
        <f t="array" ref="D11">INDEX('Cleaned Data'!$D$3:$AD$374,
MATCH(1,
('Cleaned Data'!$A$3:$A$374 = $D$4)*
('Cleaned Data'!$B$3:$B$374 ='Q1 CPI Basket Contri Analysis'!$B$2)*
('Cleaned Data'!$C$3:$C$374 = 'Q1 CPI Basket Contri Analysis'!$B$3),
0),MATCH($A11,'Cleaned Data'!$D$1:$AD$1,0))</f>
        <v>185</v>
      </c>
      <c r="E11" cm="1">
        <f t="array" ref="E11">INDEX('Cleaned Data'!$D$3:$AD$374,
MATCH(1,
('Cleaned Data'!$A$3:$A$374 = $E$4)*
('Cleaned Data'!$B$3:$B$374 ='Q1 CPI Basket Contri Analysis'!$B$2)*
('Cleaned Data'!$C$3:$C$374 = 'Q1 CPI Basket Contri Analysis'!$B$3),
0),MATCH($A11,'Cleaned Data'!$D$1:$AD$1,0))</f>
        <v>161</v>
      </c>
    </row>
    <row r="12" spans="1:13" x14ac:dyDescent="0.35">
      <c r="A12" t="s">
        <v>10</v>
      </c>
      <c r="B12" t="str">
        <f>VLOOKUP($A12,'[1]EDA and Analysis1'!$A:$B,2,0)</f>
        <v>Basic Food Items</v>
      </c>
      <c r="C12" cm="1">
        <f t="array" ref="C12">INDEX('Cleaned Data'!$D$3:$AD$374,
MATCH(1,
('Cleaned Data'!$A$3:$A$374 = 'Q1 CPI Basket Contri Analysis'!$C$4)*
('Cleaned Data'!$B$3:$B$374 ='Q1 CPI Basket Contri Analysis'!$B$2)*
('Cleaned Data'!$C$3:$C$374 = 'Q1 CPI Basket Contri Analysis'!$B$3),
0),MATCH($A12,'Cleaned Data'!$D$1:$AD$1,0))</f>
        <v>174.9</v>
      </c>
      <c r="D12" cm="1">
        <f t="array" ref="D12">INDEX('Cleaned Data'!$D$3:$AD$374,
MATCH(1,
('Cleaned Data'!$A$3:$A$374 = $D$4)*
('Cleaned Data'!$B$3:$B$374 ='Q1 CPI Basket Contri Analysis'!$B$2)*
('Cleaned Data'!$C$3:$C$374 = 'Q1 CPI Basket Contri Analysis'!$B$3),
0),MATCH($A12,'Cleaned Data'!$D$1:$AD$1,0))</f>
        <v>176.9</v>
      </c>
      <c r="E12" cm="1">
        <f t="array" ref="E12">INDEX('Cleaned Data'!$D$3:$AD$374,
MATCH(1,
('Cleaned Data'!$A$3:$A$374 = $E$4)*
('Cleaned Data'!$B$3:$B$374 ='Q1 CPI Basket Contri Analysis'!$B$2)*
('Cleaned Data'!$C$3:$C$374 = 'Q1 CPI Basket Contri Analysis'!$B$3),
0),MATCH($A12,'Cleaned Data'!$D$1:$AD$1,0))</f>
        <v>175.6</v>
      </c>
    </row>
    <row r="13" spans="1:13" x14ac:dyDescent="0.35">
      <c r="A13" t="s">
        <v>11</v>
      </c>
      <c r="B13" t="str">
        <f>VLOOKUP($A13,'[1]EDA and Analysis1'!$A:$B,2,0)</f>
        <v>Other Food and Intoxicants</v>
      </c>
      <c r="C13" cm="1">
        <f t="array" ref="C13">INDEX('Cleaned Data'!$D$3:$AD$374,
MATCH(1,
('Cleaned Data'!$A$3:$A$374 = 'Q1 CPI Basket Contri Analysis'!$C$4)*
('Cleaned Data'!$B$3:$B$374 ='Q1 CPI Basket Contri Analysis'!$B$2)*
('Cleaned Data'!$C$3:$C$374 = 'Q1 CPI Basket Contri Analysis'!$B$3),
0),MATCH($A13,'Cleaned Data'!$D$1:$AD$1,0))</f>
        <v>121.9</v>
      </c>
      <c r="D13" cm="1">
        <f t="array" ref="D13">INDEX('Cleaned Data'!$D$3:$AD$374,
MATCH(1,
('Cleaned Data'!$A$3:$A$374 = $D$4)*
('Cleaned Data'!$B$3:$B$374 ='Q1 CPI Basket Contri Analysis'!$B$2)*
('Cleaned Data'!$C$3:$C$374 = 'Q1 CPI Basket Contri Analysis'!$B$3),
0),MATCH($A13,'Cleaned Data'!$D$1:$AD$1,0))</f>
        <v>124.2</v>
      </c>
      <c r="E13" cm="1">
        <f t="array" ref="E13">INDEX('Cleaned Data'!$D$3:$AD$374,
MATCH(1,
('Cleaned Data'!$A$3:$A$374 = $E$4)*
('Cleaned Data'!$B$3:$B$374 ='Q1 CPI Basket Contri Analysis'!$B$2)*
('Cleaned Data'!$C$3:$C$374 = 'Q1 CPI Basket Contri Analysis'!$B$3),
0),MATCH($A13,'Cleaned Data'!$D$1:$AD$1,0))</f>
        <v>122.7</v>
      </c>
    </row>
    <row r="14" spans="1:13" x14ac:dyDescent="0.35">
      <c r="A14" t="s">
        <v>12</v>
      </c>
      <c r="B14" t="str">
        <f>VLOOKUP($A14,'[1]EDA and Analysis1'!$A:$B,2,0)</f>
        <v>Basic Food Items</v>
      </c>
      <c r="C14" cm="1">
        <f t="array" ref="C14">INDEX('Cleaned Data'!$D$3:$AD$374,
MATCH(1,
('Cleaned Data'!$A$3:$A$374 = 'Q1 CPI Basket Contri Analysis'!$C$4)*
('Cleaned Data'!$B$3:$B$374 ='Q1 CPI Basket Contri Analysis'!$B$2)*
('Cleaned Data'!$C$3:$C$374 = 'Q1 CPI Basket Contri Analysis'!$B$3),
0),MATCH($A14,'Cleaned Data'!$D$1:$AD$1,0))</f>
        <v>221</v>
      </c>
      <c r="D14" cm="1">
        <f t="array" ref="D14">INDEX('Cleaned Data'!$D$3:$AD$374,
MATCH(1,
('Cleaned Data'!$A$3:$A$374 = $D$4)*
('Cleaned Data'!$B$3:$B$374 ='Q1 CPI Basket Contri Analysis'!$B$2)*
('Cleaned Data'!$C$3:$C$374 = 'Q1 CPI Basket Contri Analysis'!$B$3),
0),MATCH($A14,'Cleaned Data'!$D$1:$AD$1,0))</f>
        <v>211.9</v>
      </c>
      <c r="E14" cm="1">
        <f t="array" ref="E14">INDEX('Cleaned Data'!$D$3:$AD$374,
MATCH(1,
('Cleaned Data'!$A$3:$A$374 = $E$4)*
('Cleaned Data'!$B$3:$B$374 ='Q1 CPI Basket Contri Analysis'!$B$2)*
('Cleaned Data'!$C$3:$C$374 = 'Q1 CPI Basket Contri Analysis'!$B$3),
0),MATCH($A14,'Cleaned Data'!$D$1:$AD$1,0))</f>
        <v>218</v>
      </c>
    </row>
    <row r="15" spans="1:13" x14ac:dyDescent="0.35">
      <c r="A15" t="s">
        <v>13</v>
      </c>
      <c r="B15" t="str">
        <f>VLOOKUP($A15,'[1]EDA and Analysis1'!$A:$B,2,0)</f>
        <v>Other Food and Intoxicants</v>
      </c>
      <c r="C15" cm="1">
        <f t="array" ref="C15">INDEX('Cleaned Data'!$D$3:$AD$374,
MATCH(1,
('Cleaned Data'!$A$3:$A$374 = 'Q1 CPI Basket Contri Analysis'!$C$4)*
('Cleaned Data'!$B$3:$B$374 ='Q1 CPI Basket Contri Analysis'!$B$2)*
('Cleaned Data'!$C$3:$C$374 = 'Q1 CPI Basket Contri Analysis'!$B$3),
0),MATCH($A15,'Cleaned Data'!$D$1:$AD$1,0))</f>
        <v>178.7</v>
      </c>
      <c r="D15" cm="1">
        <f t="array" ref="D15">INDEX('Cleaned Data'!$D$3:$AD$374,
MATCH(1,
('Cleaned Data'!$A$3:$A$374 = $D$4)*
('Cleaned Data'!$B$3:$B$374 ='Q1 CPI Basket Contri Analysis'!$B$2)*
('Cleaned Data'!$C$3:$C$374 = 'Q1 CPI Basket Contri Analysis'!$B$3),
0),MATCH($A15,'Cleaned Data'!$D$1:$AD$1,0))</f>
        <v>165.9</v>
      </c>
      <c r="E15" cm="1">
        <f t="array" ref="E15">INDEX('Cleaned Data'!$D$3:$AD$374,
MATCH(1,
('Cleaned Data'!$A$3:$A$374 = $E$4)*
('Cleaned Data'!$B$3:$B$374 ='Q1 CPI Basket Contri Analysis'!$B$2)*
('Cleaned Data'!$C$3:$C$374 = 'Q1 CPI Basket Contri Analysis'!$B$3),
0),MATCH($A15,'Cleaned Data'!$D$1:$AD$1,0))</f>
        <v>173.4</v>
      </c>
    </row>
    <row r="16" spans="1:13" x14ac:dyDescent="0.35">
      <c r="A16" t="s">
        <v>74</v>
      </c>
      <c r="B16" t="str">
        <f>VLOOKUP($A16,'[1]EDA and Analysis1'!$A:$B,2,0)</f>
        <v>Other Food and Intoxicants</v>
      </c>
      <c r="C16" cm="1">
        <f t="array" ref="C16">INDEX('Cleaned Data'!$D$3:$AD$374,
MATCH(1,
('Cleaned Data'!$A$3:$A$374 = 'Q1 CPI Basket Contri Analysis'!$C$4)*
('Cleaned Data'!$B$3:$B$374 ='Q1 CPI Basket Contri Analysis'!$B$2)*
('Cleaned Data'!$C$3:$C$374 = 'Q1 CPI Basket Contri Analysis'!$B$3),
0),MATCH($A16,'Cleaned Data'!$D$1:$AD$1,0))</f>
        <v>191.1</v>
      </c>
      <c r="D16" cm="1">
        <f t="array" ref="D16">INDEX('Cleaned Data'!$D$3:$AD$374,
MATCH(1,
('Cleaned Data'!$A$3:$A$374 = $D$4)*
('Cleaned Data'!$B$3:$B$374 ='Q1 CPI Basket Contri Analysis'!$B$2)*
('Cleaned Data'!$C$3:$C$374 = 'Q1 CPI Basket Contri Analysis'!$B$3),
0),MATCH($A16,'Cleaned Data'!$D$1:$AD$1,0))</f>
        <v>197.7</v>
      </c>
      <c r="E16" cm="1">
        <f t="array" ref="E16">INDEX('Cleaned Data'!$D$3:$AD$374,
MATCH(1,
('Cleaned Data'!$A$3:$A$374 = $E$4)*
('Cleaned Data'!$B$3:$B$374 ='Q1 CPI Basket Contri Analysis'!$B$2)*
('Cleaned Data'!$C$3:$C$374 = 'Q1 CPI Basket Contri Analysis'!$B$3),
0),MATCH($A16,'Cleaned Data'!$D$1:$AD$1,0))</f>
        <v>194.2</v>
      </c>
    </row>
    <row r="17" spans="1:5" x14ac:dyDescent="0.35">
      <c r="A17" t="s">
        <v>15</v>
      </c>
      <c r="B17" t="str">
        <f>VLOOKUP($A17,'[1]EDA and Analysis1'!$A:$B,2,0)</f>
        <v>Other Food and Intoxicants</v>
      </c>
      <c r="C17" cm="1">
        <f t="array" ref="C17">INDEX('Cleaned Data'!$D$3:$AD$374,
MATCH(1,
('Cleaned Data'!$A$3:$A$374 = 'Q1 CPI Basket Contri Analysis'!$C$4)*
('Cleaned Data'!$B$3:$B$374 ='Q1 CPI Basket Contri Analysis'!$B$2)*
('Cleaned Data'!$C$3:$C$374 = 'Q1 CPI Basket Contri Analysis'!$B$3),
0),MATCH($A17,'Cleaned Data'!$D$1:$AD$1,0))</f>
        <v>176.8</v>
      </c>
      <c r="D17" cm="1">
        <f t="array" ref="D17">INDEX('Cleaned Data'!$D$3:$AD$374,
MATCH(1,
('Cleaned Data'!$A$3:$A$374 = $D$4)*
('Cleaned Data'!$B$3:$B$374 ='Q1 CPI Basket Contri Analysis'!$B$2)*
('Cleaned Data'!$C$3:$C$374 = 'Q1 CPI Basket Contri Analysis'!$B$3),
0),MATCH($A17,'Cleaned Data'!$D$1:$AD$1,0))</f>
        <v>183.1</v>
      </c>
      <c r="E17" cm="1">
        <f t="array" ref="E17">INDEX('Cleaned Data'!$D$3:$AD$374,
MATCH(1,
('Cleaned Data'!$A$3:$A$374 = $E$4)*
('Cleaned Data'!$B$3:$B$374 ='Q1 CPI Basket Contri Analysis'!$B$2)*
('Cleaned Data'!$C$3:$C$374 = 'Q1 CPI Basket Contri Analysis'!$B$3),
0),MATCH($A17,'Cleaned Data'!$D$1:$AD$1,0))</f>
        <v>179.1</v>
      </c>
    </row>
    <row r="18" spans="1:5" x14ac:dyDescent="0.35">
      <c r="A18" t="s">
        <v>73</v>
      </c>
      <c r="B18" t="str">
        <f>VLOOKUP($A18,'[1]EDA and Analysis1'!$A:$B,2,0)</f>
        <v>Other Food and Intoxicants</v>
      </c>
      <c r="C18" cm="1">
        <f t="array" ref="C18">INDEX('Cleaned Data'!$D$3:$AD$374,
MATCH(1,
('Cleaned Data'!$A$3:$A$374 = 'Q1 CPI Basket Contri Analysis'!$C$4)*
('Cleaned Data'!$B$3:$B$374 ='Q1 CPI Basket Contri Analysis'!$B$2)*
('Cleaned Data'!$C$3:$C$374 = 'Q1 CPI Basket Contri Analysis'!$B$3),
0),MATCH($A18,'Cleaned Data'!$D$1:$AD$1,0))</f>
        <v>199.9</v>
      </c>
      <c r="D18" cm="1">
        <f t="array" ref="D18">INDEX('Cleaned Data'!$D$3:$AD$374,
MATCH(1,
('Cleaned Data'!$A$3:$A$374 = $D$4)*
('Cleaned Data'!$B$3:$B$374 ='Q1 CPI Basket Contri Analysis'!$B$2)*
('Cleaned Data'!$C$3:$C$374 = 'Q1 CPI Basket Contri Analysis'!$B$3),
0),MATCH($A18,'Cleaned Data'!$D$1:$AD$1,0))</f>
        <v>204.2</v>
      </c>
      <c r="E18" cm="1">
        <f t="array" ref="E18">INDEX('Cleaned Data'!$D$3:$AD$374,
MATCH(1,
('Cleaned Data'!$A$3:$A$374 = $E$4)*
('Cleaned Data'!$B$3:$B$374 ='Q1 CPI Basket Contri Analysis'!$B$2)*
('Cleaned Data'!$C$3:$C$374 = 'Q1 CPI Basket Contri Analysis'!$B$3),
0),MATCH($A18,'Cleaned Data'!$D$1:$AD$1,0))</f>
        <v>201</v>
      </c>
    </row>
    <row r="19" spans="1:5" x14ac:dyDescent="0.35">
      <c r="A19" t="s">
        <v>17</v>
      </c>
      <c r="B19" t="str">
        <f>VLOOKUP($A19,'[1]EDA and Analysis1'!$A:$B,2,0)</f>
        <v>Clothing and footwear</v>
      </c>
      <c r="C19" cm="1">
        <f t="array" ref="C19">INDEX('Cleaned Data'!$D$3:$AD$374,
MATCH(1,
('Cleaned Data'!$A$3:$A$374 = 'Q1 CPI Basket Contri Analysis'!$C$4)*
('Cleaned Data'!$B$3:$B$374 ='Q1 CPI Basket Contri Analysis'!$B$2)*
('Cleaned Data'!$C$3:$C$374 = 'Q1 CPI Basket Contri Analysis'!$B$3),
0),MATCH($A19,'Cleaned Data'!$D$1:$AD$1,0))</f>
        <v>191.2</v>
      </c>
      <c r="D19" cm="1">
        <f t="array" ref="D19">INDEX('Cleaned Data'!$D$3:$AD$374,
MATCH(1,
('Cleaned Data'!$A$3:$A$374 = $D$4)*
('Cleaned Data'!$B$3:$B$374 ='Q1 CPI Basket Contri Analysis'!$B$2)*
('Cleaned Data'!$C$3:$C$374 = 'Q1 CPI Basket Contri Analysis'!$B$3),
0),MATCH($A19,'Cleaned Data'!$D$1:$AD$1,0))</f>
        <v>181.3</v>
      </c>
      <c r="E19" cm="1">
        <f t="array" ref="E19">INDEX('Cleaned Data'!$D$3:$AD$374,
MATCH(1,
('Cleaned Data'!$A$3:$A$374 = $E$4)*
('Cleaned Data'!$B$3:$B$374 ='Q1 CPI Basket Contri Analysis'!$B$2)*
('Cleaned Data'!$C$3:$C$374 = 'Q1 CPI Basket Contri Analysis'!$B$3),
0),MATCH($A19,'Cleaned Data'!$D$1:$AD$1,0))</f>
        <v>187.3</v>
      </c>
    </row>
    <row r="20" spans="1:5" x14ac:dyDescent="0.35">
      <c r="A20" t="s">
        <v>18</v>
      </c>
      <c r="B20" t="str">
        <f>VLOOKUP($A20,'[1]EDA and Analysis1'!$A:$B,2,0)</f>
        <v>Clothing and footwear</v>
      </c>
      <c r="C20" cm="1">
        <f t="array" ref="C20">INDEX('Cleaned Data'!$D$3:$AD$374,
MATCH(1,
('Cleaned Data'!$A$3:$A$374 = 'Q1 CPI Basket Contri Analysis'!$C$4)*
('Cleaned Data'!$B$3:$B$374 ='Q1 CPI Basket Contri Analysis'!$B$2)*
('Cleaned Data'!$C$3:$C$374 = 'Q1 CPI Basket Contri Analysis'!$B$3),
0),MATCH($A20,'Cleaned Data'!$D$1:$AD$1,0))</f>
        <v>187.9</v>
      </c>
      <c r="D20" cm="1">
        <f t="array" ref="D20">INDEX('Cleaned Data'!$D$3:$AD$374,
MATCH(1,
('Cleaned Data'!$A$3:$A$374 = $D$4)*
('Cleaned Data'!$B$3:$B$374 ='Q1 CPI Basket Contri Analysis'!$B$2)*
('Cleaned Data'!$C$3:$C$374 = 'Q1 CPI Basket Contri Analysis'!$B$3),
0),MATCH($A20,'Cleaned Data'!$D$1:$AD$1,0))</f>
        <v>168.1</v>
      </c>
      <c r="E20" cm="1">
        <f t="array" ref="E20">INDEX('Cleaned Data'!$D$3:$AD$374,
MATCH(1,
('Cleaned Data'!$A$3:$A$374 = $E$4)*
('Cleaned Data'!$B$3:$B$374 ='Q1 CPI Basket Contri Analysis'!$B$2)*
('Cleaned Data'!$C$3:$C$374 = 'Q1 CPI Basket Contri Analysis'!$B$3),
0),MATCH($A20,'Cleaned Data'!$D$1:$AD$1,0))</f>
        <v>179.7</v>
      </c>
    </row>
    <row r="21" spans="1:5" x14ac:dyDescent="0.35">
      <c r="A21" t="s">
        <v>19</v>
      </c>
      <c r="B21" t="str">
        <f>VLOOKUP($A21,'[1]EDA and Analysis1'!$A:$B,2,0)</f>
        <v>Clothing and footwear</v>
      </c>
      <c r="C21" cm="1">
        <f t="array" ref="C21">INDEX('Cleaned Data'!$D$3:$AD$374,
MATCH(1,
('Cleaned Data'!$A$3:$A$374 = 'Q1 CPI Basket Contri Analysis'!$C$4)*
('Cleaned Data'!$B$3:$B$374 ='Q1 CPI Basket Contri Analysis'!$B$2)*
('Cleaned Data'!$C$3:$C$374 = 'Q1 CPI Basket Contri Analysis'!$B$3),
0),MATCH($A21,'Cleaned Data'!$D$1:$AD$1,0))</f>
        <v>190.8</v>
      </c>
      <c r="D21" cm="1">
        <f t="array" ref="D21">INDEX('Cleaned Data'!$D$3:$AD$374,
MATCH(1,
('Cleaned Data'!$A$3:$A$374 = $D$4)*
('Cleaned Data'!$B$3:$B$374 ='Q1 CPI Basket Contri Analysis'!$B$2)*
('Cleaned Data'!$C$3:$C$374 = 'Q1 CPI Basket Contri Analysis'!$B$3),
0),MATCH($A21,'Cleaned Data'!$D$1:$AD$1,0))</f>
        <v>179.3</v>
      </c>
      <c r="E21" cm="1">
        <f t="array" ref="E21">INDEX('Cleaned Data'!$D$3:$AD$374,
MATCH(1,
('Cleaned Data'!$A$3:$A$374 = $E$4)*
('Cleaned Data'!$B$3:$B$374 ='Q1 CPI Basket Contri Analysis'!$B$2)*
('Cleaned Data'!$C$3:$C$374 = 'Q1 CPI Basket Contri Analysis'!$B$3),
0),MATCH($A21,'Cleaned Data'!$D$1:$AD$1,0))</f>
        <v>186.2</v>
      </c>
    </row>
    <row r="22" spans="1:5" x14ac:dyDescent="0.35">
      <c r="A22" t="s">
        <v>20</v>
      </c>
      <c r="B22" t="str">
        <f>VLOOKUP($A22,'[1]EDA and Analysis1'!$A:$B,2,0)</f>
        <v>Housing and Utilities</v>
      </c>
      <c r="C22" t="str" cm="1">
        <f t="array" ref="C22">INDEX('Cleaned Data'!$D$3:$AD$374,
MATCH(1,
('Cleaned Data'!$A$3:$A$374 = 'Q1 CPI Basket Contri Analysis'!$C$4)*
('Cleaned Data'!$B$3:$B$374 ='Q1 CPI Basket Contri Analysis'!$B$2)*
('Cleaned Data'!$C$3:$C$374 = 'Q1 CPI Basket Contri Analysis'!$B$3),
0),MATCH($A22,'Cleaned Data'!$D$1:$AD$1,0))</f>
        <v>NA</v>
      </c>
      <c r="D22" cm="1">
        <f t="array" ref="D22">INDEX('Cleaned Data'!$D$3:$AD$374,
MATCH(1,
('Cleaned Data'!$A$3:$A$374 = $D$4)*
('Cleaned Data'!$B$3:$B$374 ='Q1 CPI Basket Contri Analysis'!$B$2)*
('Cleaned Data'!$C$3:$C$374 = 'Q1 CPI Basket Contri Analysis'!$B$3),
0),MATCH($A22,'Cleaned Data'!$D$1:$AD$1,0))</f>
        <v>175.6</v>
      </c>
      <c r="E22" cm="1">
        <f t="array" ref="E22">INDEX('Cleaned Data'!$D$3:$AD$374,
MATCH(1,
('Cleaned Data'!$A$3:$A$374 = $E$4)*
('Cleaned Data'!$B$3:$B$374 ='Q1 CPI Basket Contri Analysis'!$B$2)*
('Cleaned Data'!$C$3:$C$374 = 'Q1 CPI Basket Contri Analysis'!$B$3),
0),MATCH($A22,'Cleaned Data'!$D$1:$AD$1,0))</f>
        <v>175.6</v>
      </c>
    </row>
    <row r="23" spans="1:5" x14ac:dyDescent="0.35">
      <c r="A23" t="s">
        <v>21</v>
      </c>
      <c r="B23" t="str">
        <f>VLOOKUP($A23,'[1]EDA and Analysis1'!$A:$B,2,0)</f>
        <v>Housing and Utilities</v>
      </c>
      <c r="C23" cm="1">
        <f t="array" ref="C23">INDEX('Cleaned Data'!$D$3:$AD$374,
MATCH(1,
('Cleaned Data'!$A$3:$A$374 = 'Q1 CPI Basket Contri Analysis'!$C$4)*
('Cleaned Data'!$B$3:$B$374 ='Q1 CPI Basket Contri Analysis'!$B$2)*
('Cleaned Data'!$C$3:$C$374 = 'Q1 CPI Basket Contri Analysis'!$B$3),
0),MATCH($A23,'Cleaned Data'!$D$1:$AD$1,0))</f>
        <v>182.5</v>
      </c>
      <c r="D23" cm="1">
        <f t="array" ref="D23">INDEX('Cleaned Data'!$D$3:$AD$374,
MATCH(1,
('Cleaned Data'!$A$3:$A$374 = $D$4)*
('Cleaned Data'!$B$3:$B$374 ='Q1 CPI Basket Contri Analysis'!$B$2)*
('Cleaned Data'!$C$3:$C$374 = 'Q1 CPI Basket Contri Analysis'!$B$3),
0),MATCH($A23,'Cleaned Data'!$D$1:$AD$1,0))</f>
        <v>183.4</v>
      </c>
      <c r="E23" cm="1">
        <f t="array" ref="E23">INDEX('Cleaned Data'!$D$3:$AD$374,
MATCH(1,
('Cleaned Data'!$A$3:$A$374 = $E$4)*
('Cleaned Data'!$B$3:$B$374 ='Q1 CPI Basket Contri Analysis'!$B$2)*
('Cleaned Data'!$C$3:$C$374 = 'Q1 CPI Basket Contri Analysis'!$B$3),
0),MATCH($A23,'Cleaned Data'!$D$1:$AD$1,0))</f>
        <v>182.8</v>
      </c>
    </row>
    <row r="24" spans="1:5" x14ac:dyDescent="0.35">
      <c r="A24" t="s">
        <v>22</v>
      </c>
      <c r="B24" t="str">
        <f>VLOOKUP($A24,'[1]EDA and Analysis1'!$A:$B,2,0)</f>
        <v>Housing and Utilities</v>
      </c>
      <c r="C24" cm="1">
        <f t="array" ref="C24">INDEX('Cleaned Data'!$D$3:$AD$374,
MATCH(1,
('Cleaned Data'!$A$3:$A$374 = 'Q1 CPI Basket Contri Analysis'!$C$4)*
('Cleaned Data'!$B$3:$B$374 ='Q1 CPI Basket Contri Analysis'!$B$2)*
('Cleaned Data'!$C$3:$C$374 = 'Q1 CPI Basket Contri Analysis'!$B$3),
0),MATCH($A24,'Cleaned Data'!$D$1:$AD$1,0))</f>
        <v>179.8</v>
      </c>
      <c r="D24" cm="1">
        <f t="array" ref="D24">INDEX('Cleaned Data'!$D$3:$AD$374,
MATCH(1,
('Cleaned Data'!$A$3:$A$374 = $D$4)*
('Cleaned Data'!$B$3:$B$374 ='Q1 CPI Basket Contri Analysis'!$B$2)*
('Cleaned Data'!$C$3:$C$374 = 'Q1 CPI Basket Contri Analysis'!$B$3),
0),MATCH($A24,'Cleaned Data'!$D$1:$AD$1,0))</f>
        <v>170.1</v>
      </c>
      <c r="E24" cm="1">
        <f t="array" ref="E24">INDEX('Cleaned Data'!$D$3:$AD$374,
MATCH(1,
('Cleaned Data'!$A$3:$A$374 = $E$4)*
('Cleaned Data'!$B$3:$B$374 ='Q1 CPI Basket Contri Analysis'!$B$2)*
('Cleaned Data'!$C$3:$C$374 = 'Q1 CPI Basket Contri Analysis'!$B$3),
0),MATCH($A24,'Cleaned Data'!$D$1:$AD$1,0))</f>
        <v>175.2</v>
      </c>
    </row>
    <row r="25" spans="1:5" x14ac:dyDescent="0.35">
      <c r="A25" t="s">
        <v>23</v>
      </c>
      <c r="B25" t="str">
        <f>VLOOKUP($A25,'[1]EDA and Analysis1'!$A:$B,2,0)</f>
        <v>Services and Miscellaneous</v>
      </c>
      <c r="C25" cm="1">
        <f t="array" ref="C25">INDEX('Cleaned Data'!$D$3:$AD$374,
MATCH(1,
('Cleaned Data'!$A$3:$A$374 = 'Q1 CPI Basket Contri Analysis'!$C$4)*
('Cleaned Data'!$B$3:$B$374 ='Q1 CPI Basket Contri Analysis'!$B$2)*
('Cleaned Data'!$C$3:$C$374 = 'Q1 CPI Basket Contri Analysis'!$B$3),
0),MATCH($A25,'Cleaned Data'!$D$1:$AD$1,0))</f>
        <v>187.8</v>
      </c>
      <c r="D25" cm="1">
        <f t="array" ref="D25">INDEX('Cleaned Data'!$D$3:$AD$374,
MATCH(1,
('Cleaned Data'!$A$3:$A$374 = $D$4)*
('Cleaned Data'!$B$3:$B$374 ='Q1 CPI Basket Contri Analysis'!$B$2)*
('Cleaned Data'!$C$3:$C$374 = 'Q1 CPI Basket Contri Analysis'!$B$3),
0),MATCH($A25,'Cleaned Data'!$D$1:$AD$1,0))</f>
        <v>182.2</v>
      </c>
      <c r="E25" cm="1">
        <f t="array" ref="E25">INDEX('Cleaned Data'!$D$3:$AD$374,
MATCH(1,
('Cleaned Data'!$A$3:$A$374 = $E$4)*
('Cleaned Data'!$B$3:$B$374 ='Q1 CPI Basket Contri Analysis'!$B$2)*
('Cleaned Data'!$C$3:$C$374 = 'Q1 CPI Basket Contri Analysis'!$B$3),
0),MATCH($A25,'Cleaned Data'!$D$1:$AD$1,0))</f>
        <v>185.7</v>
      </c>
    </row>
    <row r="26" spans="1:5" x14ac:dyDescent="0.35">
      <c r="A26" t="s">
        <v>24</v>
      </c>
      <c r="B26" t="str">
        <f>VLOOKUP($A26,'[1]EDA and Analysis1'!$A:$B,2,0)</f>
        <v>Services and Miscellaneous</v>
      </c>
      <c r="C26" cm="1">
        <f t="array" ref="C26">INDEX('Cleaned Data'!$D$3:$AD$374,
MATCH(1,
('Cleaned Data'!$A$3:$A$374 = 'Q1 CPI Basket Contri Analysis'!$C$4)*
('Cleaned Data'!$B$3:$B$374 ='Q1 CPI Basket Contri Analysis'!$B$2)*
('Cleaned Data'!$C$3:$C$374 = 'Q1 CPI Basket Contri Analysis'!$B$3),
0),MATCH($A26,'Cleaned Data'!$D$1:$AD$1,0))</f>
        <v>169.7</v>
      </c>
      <c r="D26" cm="1">
        <f t="array" ref="D26">INDEX('Cleaned Data'!$D$3:$AD$374,
MATCH(1,
('Cleaned Data'!$A$3:$A$374 = $D$4)*
('Cleaned Data'!$B$3:$B$374 ='Q1 CPI Basket Contri Analysis'!$B$2)*
('Cleaned Data'!$C$3:$C$374 = 'Q1 CPI Basket Contri Analysis'!$B$3),
0),MATCH($A26,'Cleaned Data'!$D$1:$AD$1,0))</f>
        <v>160.4</v>
      </c>
      <c r="E26" cm="1">
        <f t="array" ref="E26">INDEX('Cleaned Data'!$D$3:$AD$374,
MATCH(1,
('Cleaned Data'!$A$3:$A$374 = $E$4)*
('Cleaned Data'!$B$3:$B$374 ='Q1 CPI Basket Contri Analysis'!$B$2)*
('Cleaned Data'!$C$3:$C$374 = 'Q1 CPI Basket Contri Analysis'!$B$3),
0),MATCH($A26,'Cleaned Data'!$D$1:$AD$1,0))</f>
        <v>164.8</v>
      </c>
    </row>
    <row r="27" spans="1:5" x14ac:dyDescent="0.35">
      <c r="A27" t="s">
        <v>25</v>
      </c>
      <c r="B27" t="str">
        <f>VLOOKUP($A27,'[1]EDA and Analysis1'!$A:$B,2,0)</f>
        <v>Services and Miscellaneous</v>
      </c>
      <c r="C27" cm="1">
        <f t="array" ref="C27">INDEX('Cleaned Data'!$D$3:$AD$374,
MATCH(1,
('Cleaned Data'!$A$3:$A$374 = 'Q1 CPI Basket Contri Analysis'!$C$4)*
('Cleaned Data'!$B$3:$B$374 ='Q1 CPI Basket Contri Analysis'!$B$2)*
('Cleaned Data'!$C$3:$C$374 = 'Q1 CPI Basket Contri Analysis'!$B$3),
0),MATCH($A27,'Cleaned Data'!$D$1:$AD$1,0))</f>
        <v>173.8</v>
      </c>
      <c r="D27" cm="1">
        <f t="array" ref="D27">INDEX('Cleaned Data'!$D$3:$AD$374,
MATCH(1,
('Cleaned Data'!$A$3:$A$374 = $D$4)*
('Cleaned Data'!$B$3:$B$374 ='Q1 CPI Basket Contri Analysis'!$B$2)*
('Cleaned Data'!$C$3:$C$374 = 'Q1 CPI Basket Contri Analysis'!$B$3),
0),MATCH($A27,'Cleaned Data'!$D$1:$AD$1,0))</f>
        <v>169.2</v>
      </c>
      <c r="E27" cm="1">
        <f t="array" ref="E27">INDEX('Cleaned Data'!$D$3:$AD$374,
MATCH(1,
('Cleaned Data'!$A$3:$A$374 = $E$4)*
('Cleaned Data'!$B$3:$B$374 ='Q1 CPI Basket Contri Analysis'!$B$2)*
('Cleaned Data'!$C$3:$C$374 = 'Q1 CPI Basket Contri Analysis'!$B$3),
0),MATCH($A27,'Cleaned Data'!$D$1:$AD$1,0))</f>
        <v>171.2</v>
      </c>
    </row>
    <row r="28" spans="1:5" x14ac:dyDescent="0.35">
      <c r="A28" t="s">
        <v>26</v>
      </c>
      <c r="B28" t="str">
        <f>VLOOKUP($A28,'[1]EDA and Analysis1'!$A:$B,2,0)</f>
        <v>Services and Miscellaneous</v>
      </c>
      <c r="C28" cm="1">
        <f t="array" ref="C28">INDEX('Cleaned Data'!$D$3:$AD$374,
MATCH(1,
('Cleaned Data'!$A$3:$A$374 = 'Q1 CPI Basket Contri Analysis'!$C$4)*
('Cleaned Data'!$B$3:$B$374 ='Q1 CPI Basket Contri Analysis'!$B$2)*
('Cleaned Data'!$C$3:$C$374 = 'Q1 CPI Basket Contri Analysis'!$B$3),
0),MATCH($A28,'Cleaned Data'!$D$1:$AD$1,0))</f>
        <v>180.3</v>
      </c>
      <c r="D28" cm="1">
        <f t="array" ref="D28">INDEX('Cleaned Data'!$D$3:$AD$374,
MATCH(1,
('Cleaned Data'!$A$3:$A$374 = $D$4)*
('Cleaned Data'!$B$3:$B$374 ='Q1 CPI Basket Contri Analysis'!$B$2)*
('Cleaned Data'!$C$3:$C$374 = 'Q1 CPI Basket Contri Analysis'!$B$3),
0),MATCH($A28,'Cleaned Data'!$D$1:$AD$1,0))</f>
        <v>174.8</v>
      </c>
      <c r="E28" cm="1">
        <f t="array" ref="E28">INDEX('Cleaned Data'!$D$3:$AD$374,
MATCH(1,
('Cleaned Data'!$A$3:$A$374 = $E$4)*
('Cleaned Data'!$B$3:$B$374 ='Q1 CPI Basket Contri Analysis'!$B$2)*
('Cleaned Data'!$C$3:$C$374 = 'Q1 CPI Basket Contri Analysis'!$B$3),
0),MATCH($A28,'Cleaned Data'!$D$1:$AD$1,0))</f>
        <v>177.1</v>
      </c>
    </row>
    <row r="29" spans="1:5" x14ac:dyDescent="0.35">
      <c r="A29" t="s">
        <v>27</v>
      </c>
      <c r="B29" t="str">
        <f>VLOOKUP($A29,'[1]EDA and Analysis1'!$A:$B,2,0)</f>
        <v>Services and Miscellaneous</v>
      </c>
      <c r="C29" cm="1">
        <f t="array" ref="C29">INDEX('Cleaned Data'!$D$3:$AD$374,
MATCH(1,
('Cleaned Data'!$A$3:$A$374 = 'Q1 CPI Basket Contri Analysis'!$C$4)*
('Cleaned Data'!$B$3:$B$374 ='Q1 CPI Basket Contri Analysis'!$B$2)*
('Cleaned Data'!$C$3:$C$374 = 'Q1 CPI Basket Contri Analysis'!$B$3),
0),MATCH($A29,'Cleaned Data'!$D$1:$AD$1,0))</f>
        <v>184.9</v>
      </c>
      <c r="D29" cm="1">
        <f t="array" ref="D29">INDEX('Cleaned Data'!$D$3:$AD$374,
MATCH(1,
('Cleaned Data'!$A$3:$A$374 = $D$4)*
('Cleaned Data'!$B$3:$B$374 ='Q1 CPI Basket Contri Analysis'!$B$2)*
('Cleaned Data'!$C$3:$C$374 = 'Q1 CPI Basket Contri Analysis'!$B$3),
0),MATCH($A29,'Cleaned Data'!$D$1:$AD$1,0))</f>
        <v>185.6</v>
      </c>
      <c r="E29" cm="1">
        <f t="array" ref="E29">INDEX('Cleaned Data'!$D$3:$AD$374,
MATCH(1,
('Cleaned Data'!$A$3:$A$374 = $E$4)*
('Cleaned Data'!$B$3:$B$374 ='Q1 CPI Basket Contri Analysis'!$B$2)*
('Cleaned Data'!$C$3:$C$374 = 'Q1 CPI Basket Contri Analysis'!$B$3),
0),MATCH($A29,'Cleaned Data'!$D$1:$AD$1,0))</f>
        <v>185.2</v>
      </c>
    </row>
    <row r="30" spans="1:5" x14ac:dyDescent="0.35">
      <c r="A30" t="s">
        <v>28</v>
      </c>
      <c r="B30" t="str">
        <f>VLOOKUP($A30,'[1]EDA and Analysis1'!$A:$B,2,0)</f>
        <v>Services and Miscellaneous</v>
      </c>
      <c r="C30" cm="1">
        <f t="array" ref="C30">INDEX('Cleaned Data'!$D$3:$AD$374,
MATCH(1,
('Cleaned Data'!$A$3:$A$374 = 'Q1 CPI Basket Contri Analysis'!$C$4)*
('Cleaned Data'!$B$3:$B$374 ='Q1 CPI Basket Contri Analysis'!$B$2)*
('Cleaned Data'!$C$3:$C$374 = 'Q1 CPI Basket Contri Analysis'!$B$3),
0),MATCH($A30,'Cleaned Data'!$D$1:$AD$1,0))</f>
        <v>179.5</v>
      </c>
      <c r="D30" cm="1">
        <f t="array" ref="D30">INDEX('Cleaned Data'!$D$3:$AD$374,
MATCH(1,
('Cleaned Data'!$A$3:$A$374 = $D$4)*
('Cleaned Data'!$B$3:$B$374 ='Q1 CPI Basket Contri Analysis'!$B$2)*
('Cleaned Data'!$C$3:$C$374 = 'Q1 CPI Basket Contri Analysis'!$B$3),
0),MATCH($A30,'Cleaned Data'!$D$1:$AD$1,0))</f>
        <v>171.6</v>
      </c>
      <c r="E30" cm="1">
        <f t="array" ref="E30">INDEX('Cleaned Data'!$D$3:$AD$374,
MATCH(1,
('Cleaned Data'!$A$3:$A$374 = $E$4)*
('Cleaned Data'!$B$3:$B$374 ='Q1 CPI Basket Contri Analysis'!$B$2)*
('Cleaned Data'!$C$3:$C$374 = 'Q1 CPI Basket Contri Analysis'!$B$3),
0),MATCH($A30,'Cleaned Data'!$D$1:$AD$1,0))</f>
        <v>175.7</v>
      </c>
    </row>
  </sheetData>
  <dataConsolidate link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94D2-4BA9-4D19-8C25-41BA2851DBF2}">
  <dimension ref="C3:H22"/>
  <sheetViews>
    <sheetView workbookViewId="0">
      <selection activeCell="D15" sqref="D15"/>
    </sheetView>
  </sheetViews>
  <sheetFormatPr defaultRowHeight="14.5" x14ac:dyDescent="0.35"/>
  <cols>
    <col min="3" max="3" width="18.6328125" bestFit="1" customWidth="1"/>
    <col min="4" max="4" width="13.36328125" bestFit="1" customWidth="1"/>
    <col min="5" max="5" width="10.08984375" bestFit="1" customWidth="1"/>
    <col min="6" max="6" width="15" bestFit="1" customWidth="1"/>
    <col min="7" max="7" width="14.1796875" bestFit="1" customWidth="1"/>
    <col min="8" max="8" width="11.26953125" bestFit="1" customWidth="1"/>
  </cols>
  <sheetData>
    <row r="3" spans="3:8" x14ac:dyDescent="0.35">
      <c r="C3" t="s">
        <v>0</v>
      </c>
      <c r="D3" t="s">
        <v>34</v>
      </c>
    </row>
    <row r="4" spans="3:8" x14ac:dyDescent="0.35">
      <c r="C4" s="12" t="s">
        <v>1</v>
      </c>
      <c r="D4" s="10" t="s">
        <v>65</v>
      </c>
      <c r="E4" s="13" t="s">
        <v>66</v>
      </c>
      <c r="F4" s="10" t="s">
        <v>67</v>
      </c>
      <c r="G4" s="10" t="s">
        <v>68</v>
      </c>
      <c r="H4" s="10" t="s">
        <v>69</v>
      </c>
    </row>
    <row r="5" spans="3:8" x14ac:dyDescent="0.35">
      <c r="C5" s="5">
        <v>2017</v>
      </c>
      <c r="D5" s="14" t="s">
        <v>31</v>
      </c>
      <c r="E5" s="5" t="s">
        <v>46</v>
      </c>
      <c r="F5" s="10" cm="1">
        <f t="array" ref="F5">INDEX('Cleaned Data'!$AD$3:$AD$374,
MATCH(1,
('Cleaned Data'!$A$3:$A$374=$D$3)*
('Cleaned Data'!$B$3:$B$374=$C5)*
('Cleaned Data'!$C$3:$C$374=$D5),
0))</f>
        <v>130.30000000000001</v>
      </c>
      <c r="G5" s="10" cm="1">
        <f t="array" ref="G5">INDEX('Cleaned Data'!$AD$3:$AD$374,
MATCH(1,
('Cleaned Data'!$A$3:$A$374=$D$3)*
('Cleaned Data'!$B$3:$B$374=$C5)*
('Cleaned Data'!$C$3:$C$374=$E5),
0))</f>
        <v>137.19999999999999</v>
      </c>
      <c r="H5" s="9">
        <f xml:space="preserve"> (G5-F5)/F5</f>
        <v>5.295471987720627E-2</v>
      </c>
    </row>
    <row r="6" spans="3:8" x14ac:dyDescent="0.35">
      <c r="C6" s="5">
        <v>2018</v>
      </c>
      <c r="D6" s="5" t="s">
        <v>31</v>
      </c>
      <c r="E6" s="5" t="s">
        <v>46</v>
      </c>
      <c r="F6" s="10" cm="1">
        <f t="array" ref="F6">INDEX('Cleaned Data'!$AD$3:$AD$374,
MATCH(1,
('Cleaned Data'!$A$3:$A$374=$D$3)*
('Cleaned Data'!$B$3:$B$374=$C6)*
('Cleaned Data'!$C$3:$C$374=$D6),
0))</f>
        <v>136.9</v>
      </c>
      <c r="G6" s="10" cm="1">
        <f t="array" ref="G6">INDEX('Cleaned Data'!$AD$3:$AD$374,
MATCH(1,
('Cleaned Data'!$A$3:$A$374=$D$3)*
('Cleaned Data'!$B$3:$B$374=$C6)*
('Cleaned Data'!$C$3:$C$374=$E6),
0))</f>
        <v>140.1</v>
      </c>
      <c r="H6" s="9">
        <f t="shared" ref="H6:H11" si="0" xml:space="preserve"> (G6-F6)/F6</f>
        <v>2.3374726077428697E-2</v>
      </c>
    </row>
    <row r="7" spans="3:8" x14ac:dyDescent="0.35">
      <c r="C7" s="5">
        <v>2019</v>
      </c>
      <c r="D7" s="5" t="s">
        <v>31</v>
      </c>
      <c r="E7" s="5" t="s">
        <v>46</v>
      </c>
      <c r="F7" s="10" cm="1">
        <f t="array" ref="F7">INDEX('Cleaned Data'!$AD$3:$AD$374,
MATCH(1,
('Cleaned Data'!$A$3:$A$374=$D$3)*
('Cleaned Data'!$B$3:$B$374=$C7)*
('Cleaned Data'!$C$3:$C$374=$D7),
0))</f>
        <v>139.6</v>
      </c>
      <c r="G7" s="10" cm="1">
        <f t="array" ref="G7">INDEX('Cleaned Data'!$AD$3:$AD$374,
MATCH(1,
('Cleaned Data'!$A$3:$A$374=$D$3)*
('Cleaned Data'!$B$3:$B$374=$C7)*
('Cleaned Data'!$C$3:$C$374=$E7),
0))</f>
        <v>150.4</v>
      </c>
      <c r="H7" s="9">
        <f t="shared" si="0"/>
        <v>7.7363896848137617E-2</v>
      </c>
    </row>
    <row r="8" spans="3:8" x14ac:dyDescent="0.35">
      <c r="C8" s="5">
        <v>2020</v>
      </c>
      <c r="D8" s="5" t="s">
        <v>31</v>
      </c>
      <c r="E8" s="5" t="s">
        <v>46</v>
      </c>
      <c r="F8" s="10" cm="1">
        <f t="array" ref="F8">INDEX('Cleaned Data'!$AD$3:$AD$374,
MATCH(1,
('Cleaned Data'!$A$3:$A$374=$D$3)*
('Cleaned Data'!$B$3:$B$374=$C8)*
('Cleaned Data'!$C$3:$C$374=$D8),
0))</f>
        <v>150.19999999999999</v>
      </c>
      <c r="G8" s="10" cm="1">
        <f t="array" ref="G8">INDEX('Cleaned Data'!$AD$3:$AD$374,
MATCH(1,
('Cleaned Data'!$A$3:$A$374=$D$3)*
('Cleaned Data'!$B$3:$B$374=$C8)*
('Cleaned Data'!$C$3:$C$374=$E8),
0))</f>
        <v>158.9</v>
      </c>
      <c r="H8" s="9">
        <f t="shared" si="0"/>
        <v>5.7922769640479481E-2</v>
      </c>
    </row>
    <row r="9" spans="3:8" x14ac:dyDescent="0.35">
      <c r="C9" s="5">
        <v>2021</v>
      </c>
      <c r="D9" s="5" t="s">
        <v>31</v>
      </c>
      <c r="E9" s="5" t="s">
        <v>46</v>
      </c>
      <c r="F9" s="10" cm="1">
        <f t="array" ref="F9">INDEX('Cleaned Data'!$AD$3:$AD$374,
MATCH(1,
('Cleaned Data'!$A$3:$A$374=$D$3)*
('Cleaned Data'!$B$3:$B$374=$C9)*
('Cleaned Data'!$C$3:$C$374=$D9),
0))</f>
        <v>157.30000000000001</v>
      </c>
      <c r="G9" s="10" cm="1">
        <f t="array" ref="G9">INDEX('Cleaned Data'!$AD$3:$AD$374,
MATCH(1,
('Cleaned Data'!$A$3:$A$374=$D$3)*
('Cleaned Data'!$B$3:$B$374=$C9)*
('Cleaned Data'!$C$3:$C$374=$E9),
0))</f>
        <v>166.2</v>
      </c>
      <c r="H9" s="9">
        <f t="shared" si="0"/>
        <v>5.657978385251098E-2</v>
      </c>
    </row>
    <row r="10" spans="3:8" x14ac:dyDescent="0.35">
      <c r="C10" s="5">
        <v>2022</v>
      </c>
      <c r="D10" s="5" t="s">
        <v>31</v>
      </c>
      <c r="E10" s="5" t="s">
        <v>46</v>
      </c>
      <c r="F10" s="10" cm="1">
        <f t="array" ref="F10">INDEX('Cleaned Data'!$AD$3:$AD$374,
MATCH(1,
('Cleaned Data'!$A$3:$A$374=$D$3)*
('Cleaned Data'!$B$3:$B$374=$C10)*
('Cleaned Data'!$C$3:$C$374=$D10),
0))</f>
        <v>165.7</v>
      </c>
      <c r="G10" s="10" cm="1">
        <f t="array" ref="G10">INDEX('Cleaned Data'!$AD$3:$AD$374,
MATCH(1,
('Cleaned Data'!$A$3:$A$374=$D$3)*
('Cleaned Data'!$B$3:$B$374=$C10)*
('Cleaned Data'!$C$3:$C$374=$E10),
0))</f>
        <v>175.7</v>
      </c>
      <c r="H10" s="9">
        <f t="shared" si="0"/>
        <v>6.0350030175015092E-2</v>
      </c>
    </row>
    <row r="11" spans="3:8" x14ac:dyDescent="0.35">
      <c r="C11" s="5">
        <v>2023</v>
      </c>
      <c r="D11" s="5" t="s">
        <v>31</v>
      </c>
      <c r="E11" s="5" t="s">
        <v>38</v>
      </c>
      <c r="F11" s="10" cm="1">
        <f t="array" ref="F11">INDEX('Cleaned Data'!$AD$3:$AD$374,
MATCH(1,
('Cleaned Data'!$A$3:$A$374=$D$3)*
('Cleaned Data'!$B$3:$B$374=$C11)*
('Cleaned Data'!$C$3:$C$374=$D11),
0))</f>
        <v>176.5</v>
      </c>
      <c r="G11" s="10" cm="1">
        <f t="array" ref="G11">INDEX('Cleaned Data'!$AD$3:$AD$374,
MATCH(1,
('Cleaned Data'!$A$3:$A$374=$D$3)*
('Cleaned Data'!$B$3:$B$374=$C11)*
('Cleaned Data'!$C$3:$C$374=$E11),
0))</f>
        <v>179.1</v>
      </c>
      <c r="H11" s="9">
        <f t="shared" si="0"/>
        <v>1.4730878186968806E-2</v>
      </c>
    </row>
    <row r="14" spans="3:8" x14ac:dyDescent="0.35">
      <c r="C14" s="5" t="s">
        <v>1</v>
      </c>
      <c r="D14" s="5" t="s">
        <v>70</v>
      </c>
    </row>
    <row r="15" spans="3:8" x14ac:dyDescent="0.35">
      <c r="C15" s="5">
        <v>2016</v>
      </c>
      <c r="D15" s="9">
        <v>0</v>
      </c>
    </row>
    <row r="16" spans="3:8" x14ac:dyDescent="0.35">
      <c r="C16" s="5">
        <v>2017</v>
      </c>
      <c r="D16" s="9">
        <v>5.295471987720627E-2</v>
      </c>
    </row>
    <row r="17" spans="3:4" x14ac:dyDescent="0.35">
      <c r="C17" s="5">
        <v>2018</v>
      </c>
      <c r="D17" s="9">
        <v>2.3374726077428697E-2</v>
      </c>
    </row>
    <row r="18" spans="3:4" x14ac:dyDescent="0.35">
      <c r="C18" s="5">
        <v>2019</v>
      </c>
      <c r="D18" s="9">
        <v>7.7363896848137617E-2</v>
      </c>
    </row>
    <row r="19" spans="3:4" x14ac:dyDescent="0.35">
      <c r="C19" s="5">
        <v>2020</v>
      </c>
      <c r="D19" s="9">
        <v>5.7922769640479481E-2</v>
      </c>
    </row>
    <row r="20" spans="3:4" x14ac:dyDescent="0.35">
      <c r="C20" s="5">
        <v>2021</v>
      </c>
      <c r="D20" s="9">
        <v>5.657978385251098E-2</v>
      </c>
    </row>
    <row r="21" spans="3:4" x14ac:dyDescent="0.35">
      <c r="C21" s="5">
        <v>2022</v>
      </c>
      <c r="D21" s="9">
        <v>6.0350030175015092E-2</v>
      </c>
    </row>
    <row r="22" spans="3:4" x14ac:dyDescent="0.35">
      <c r="C22" s="5">
        <v>2023</v>
      </c>
      <c r="D22" s="9">
        <v>1.4730878186968806E-2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D86E-0DCF-4B3F-8D3F-7AFA1C33F432}">
  <dimension ref="A4:BQ81"/>
  <sheetViews>
    <sheetView topLeftCell="AA58" zoomScale="112" zoomScaleNormal="115" workbookViewId="0">
      <selection activeCell="D77" sqref="D77"/>
    </sheetView>
  </sheetViews>
  <sheetFormatPr defaultRowHeight="14.5" x14ac:dyDescent="0.35"/>
  <cols>
    <col min="1" max="1" width="18.1796875" customWidth="1"/>
    <col min="2" max="2" width="31.7265625" bestFit="1" customWidth="1"/>
    <col min="3" max="3" width="14.453125" bestFit="1" customWidth="1"/>
    <col min="4" max="15" width="11.7265625" customWidth="1"/>
    <col min="29" max="29" width="16.453125" bestFit="1" customWidth="1"/>
  </cols>
  <sheetData>
    <row r="4" spans="1:35" x14ac:dyDescent="0.35">
      <c r="C4" t="s">
        <v>1</v>
      </c>
      <c r="D4">
        <v>2022</v>
      </c>
      <c r="Q4" s="63" t="s">
        <v>79</v>
      </c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6" spans="1:35" x14ac:dyDescent="0.35">
      <c r="B6" s="5" t="s">
        <v>0</v>
      </c>
      <c r="C6" s="62" t="s">
        <v>30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Q6" s="62" t="s">
        <v>30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21"/>
    </row>
    <row r="7" spans="1:35" x14ac:dyDescent="0.35">
      <c r="B7" s="10" t="s">
        <v>64</v>
      </c>
      <c r="C7" s="20" t="s">
        <v>38</v>
      </c>
      <c r="D7" s="20" t="s">
        <v>39</v>
      </c>
      <c r="E7" s="20" t="s">
        <v>40</v>
      </c>
      <c r="F7" s="20" t="s">
        <v>41</v>
      </c>
      <c r="G7" s="20" t="s">
        <v>42</v>
      </c>
      <c r="H7" s="20" t="s">
        <v>43</v>
      </c>
      <c r="I7" s="20" t="s">
        <v>45</v>
      </c>
      <c r="J7" s="20" t="s">
        <v>46</v>
      </c>
      <c r="K7" s="20" t="s">
        <v>31</v>
      </c>
      <c r="L7" s="20" t="s">
        <v>35</v>
      </c>
      <c r="M7" s="20" t="s">
        <v>36</v>
      </c>
      <c r="N7" s="20" t="s">
        <v>37</v>
      </c>
      <c r="O7" s="20" t="s">
        <v>38</v>
      </c>
      <c r="Q7" s="24">
        <v>44713</v>
      </c>
      <c r="R7" s="24">
        <v>44743</v>
      </c>
      <c r="S7" s="24">
        <v>44774</v>
      </c>
      <c r="T7" s="24">
        <v>44805</v>
      </c>
      <c r="U7" s="24">
        <v>44835</v>
      </c>
      <c r="V7" s="24">
        <v>44866</v>
      </c>
      <c r="W7" s="24">
        <v>44896</v>
      </c>
      <c r="X7" s="24">
        <v>44927</v>
      </c>
      <c r="Y7" s="24">
        <v>44958</v>
      </c>
      <c r="Z7" s="24">
        <v>44986</v>
      </c>
      <c r="AA7" s="24">
        <v>45017</v>
      </c>
      <c r="AB7" s="24">
        <v>45047</v>
      </c>
      <c r="AC7" s="20" t="s">
        <v>81</v>
      </c>
    </row>
    <row r="8" spans="1:35" x14ac:dyDescent="0.35">
      <c r="A8" s="59" t="s">
        <v>76</v>
      </c>
      <c r="B8" s="10" t="s">
        <v>3</v>
      </c>
      <c r="C8" s="19">
        <v>152.9</v>
      </c>
      <c r="D8" s="19">
        <v>153.80000000000001</v>
      </c>
      <c r="E8" s="19">
        <v>155.19999999999999</v>
      </c>
      <c r="F8" s="19">
        <v>159.5</v>
      </c>
      <c r="G8" s="19">
        <v>162.9</v>
      </c>
      <c r="H8" s="19">
        <v>164.7</v>
      </c>
      <c r="I8" s="19">
        <v>166.9</v>
      </c>
      <c r="J8" s="19">
        <v>168.8</v>
      </c>
      <c r="K8" s="19">
        <v>174</v>
      </c>
      <c r="L8" s="19">
        <v>174.2</v>
      </c>
      <c r="M8" s="19">
        <v>174.3</v>
      </c>
      <c r="N8" s="19">
        <v>173.3</v>
      </c>
      <c r="O8" s="19">
        <v>173.2</v>
      </c>
      <c r="Q8" s="9">
        <f>(D8-C8)/C8</f>
        <v>5.8862001308044847E-3</v>
      </c>
      <c r="R8" s="9">
        <f>(E8-D8)/D8</f>
        <v>9.102730819245626E-3</v>
      </c>
      <c r="S8" s="9">
        <f>(F8-E8)/E8</f>
        <v>2.7706185567010384E-2</v>
      </c>
      <c r="T8" s="9">
        <f>(G8-F8)/F8</f>
        <v>2.1316614420062732E-2</v>
      </c>
      <c r="U8" s="9">
        <f t="shared" ref="U8:AB8" si="0">(H8-G8)/G8</f>
        <v>1.1049723756905973E-2</v>
      </c>
      <c r="V8" s="9">
        <f t="shared" si="0"/>
        <v>1.3357619914997069E-2</v>
      </c>
      <c r="W8" s="9">
        <f t="shared" si="0"/>
        <v>1.1384062312762167E-2</v>
      </c>
      <c r="X8" s="9">
        <f t="shared" si="0"/>
        <v>3.0805687203791399E-2</v>
      </c>
      <c r="Y8" s="9">
        <f t="shared" si="0"/>
        <v>1.1494252873562566E-3</v>
      </c>
      <c r="Z8" s="9">
        <f t="shared" si="0"/>
        <v>5.7405281285891356E-4</v>
      </c>
      <c r="AA8" s="9">
        <f t="shared" si="0"/>
        <v>-5.737234652897303E-3</v>
      </c>
      <c r="AB8" s="9">
        <f t="shared" si="0"/>
        <v>-5.7703404500878666E-4</v>
      </c>
      <c r="AC8" s="9">
        <f>($O8-$C8)/$C8</f>
        <v>0.13276651406147796</v>
      </c>
    </row>
    <row r="9" spans="1:35" x14ac:dyDescent="0.35">
      <c r="A9" s="59"/>
      <c r="B9" s="10" t="s">
        <v>4</v>
      </c>
      <c r="C9" s="19">
        <v>214.7</v>
      </c>
      <c r="D9" s="19">
        <v>217.2</v>
      </c>
      <c r="E9" s="19">
        <v>210.8</v>
      </c>
      <c r="F9" s="19">
        <v>204.1</v>
      </c>
      <c r="G9" s="19">
        <v>206.7</v>
      </c>
      <c r="H9" s="19">
        <v>208.8</v>
      </c>
      <c r="I9" s="19">
        <v>207.2</v>
      </c>
      <c r="J9" s="19">
        <v>206.9</v>
      </c>
      <c r="K9" s="19">
        <v>208.3</v>
      </c>
      <c r="L9" s="19">
        <v>205.2</v>
      </c>
      <c r="M9" s="19">
        <v>205.2</v>
      </c>
      <c r="N9" s="19">
        <v>206.9</v>
      </c>
      <c r="O9" s="19">
        <v>211.5</v>
      </c>
      <c r="Q9" s="9">
        <f t="shared" ref="Q9:Q17" si="1">(D9-C9)/C9</f>
        <v>1.1644154634373545E-2</v>
      </c>
      <c r="R9" s="9">
        <f t="shared" ref="R9:R16" si="2">(E9-D9)/D9</f>
        <v>-2.9465930018416103E-2</v>
      </c>
      <c r="S9" s="9">
        <f t="shared" ref="S9:S16" si="3">(F9-E9)/E9</f>
        <v>-3.1783681214421329E-2</v>
      </c>
      <c r="T9" s="9">
        <f t="shared" ref="T9:T16" si="4">(G9-F9)/F9</f>
        <v>1.2738853503184686E-2</v>
      </c>
      <c r="U9" s="9">
        <f t="shared" ref="U9:U16" si="5">(H9-G9)/G9</f>
        <v>1.0159651669085742E-2</v>
      </c>
      <c r="V9" s="9">
        <f t="shared" ref="V9:V16" si="6">(I9-H9)/H9</f>
        <v>-7.6628352490422545E-3</v>
      </c>
      <c r="W9" s="9">
        <f t="shared" ref="W9:W16" si="7">(J9-I9)/I9</f>
        <v>-1.4478764478763656E-3</v>
      </c>
      <c r="X9" s="9">
        <f t="shared" ref="X9:X16" si="8">(K9-J9)/J9</f>
        <v>6.7665538907685143E-3</v>
      </c>
      <c r="Y9" s="9">
        <f t="shared" ref="Y9:Y16" si="9">(L9-K9)/K9</f>
        <v>-1.4882381180989066E-2</v>
      </c>
      <c r="Z9" s="9">
        <f t="shared" ref="Z9:Z16" si="10">(M9-L9)/L9</f>
        <v>0</v>
      </c>
      <c r="AA9" s="9">
        <f t="shared" ref="AA9:AA16" si="11">(N9-M9)/M9</f>
        <v>8.2846003898636306E-3</v>
      </c>
      <c r="AB9" s="9">
        <f t="shared" ref="AB9:AB16" si="12">(O9-N9)/N9</f>
        <v>2.2232962783953574E-2</v>
      </c>
      <c r="AC9" s="9">
        <f t="shared" ref="AC9:AC21" si="13">($O9-$C9)/$C9</f>
        <v>-1.4904517931998085E-2</v>
      </c>
    </row>
    <row r="10" spans="1:35" x14ac:dyDescent="0.35">
      <c r="A10" s="59"/>
      <c r="B10" s="10" t="s">
        <v>5</v>
      </c>
      <c r="C10" s="19">
        <v>161.4</v>
      </c>
      <c r="D10" s="19">
        <v>169.6</v>
      </c>
      <c r="E10" s="19">
        <v>174.3</v>
      </c>
      <c r="F10" s="19">
        <v>168.3</v>
      </c>
      <c r="G10" s="19">
        <v>169</v>
      </c>
      <c r="H10" s="19">
        <v>170.3</v>
      </c>
      <c r="I10" s="19">
        <v>180.2</v>
      </c>
      <c r="J10" s="19">
        <v>189.1</v>
      </c>
      <c r="K10" s="19">
        <v>192.9</v>
      </c>
      <c r="L10" s="19">
        <v>173.9</v>
      </c>
      <c r="M10" s="19">
        <v>173.9</v>
      </c>
      <c r="N10" s="19">
        <v>167.9</v>
      </c>
      <c r="O10" s="19">
        <v>171</v>
      </c>
      <c r="Q10" s="9">
        <f t="shared" si="1"/>
        <v>5.0805452292441065E-2</v>
      </c>
      <c r="R10" s="9">
        <f t="shared" si="2"/>
        <v>2.7712264150943498E-2</v>
      </c>
      <c r="S10" s="9">
        <f t="shared" si="3"/>
        <v>-3.4423407917383818E-2</v>
      </c>
      <c r="T10" s="9">
        <f t="shared" si="4"/>
        <v>4.1592394533570328E-3</v>
      </c>
      <c r="U10" s="9">
        <f t="shared" si="5"/>
        <v>7.6923076923077595E-3</v>
      </c>
      <c r="V10" s="9">
        <f t="shared" si="6"/>
        <v>5.8132706987668682E-2</v>
      </c>
      <c r="W10" s="9">
        <f t="shared" si="7"/>
        <v>4.9389567147613798E-2</v>
      </c>
      <c r="X10" s="9">
        <f t="shared" si="8"/>
        <v>2.009518773135913E-2</v>
      </c>
      <c r="Y10" s="9">
        <f t="shared" si="9"/>
        <v>-9.8496630378434424E-2</v>
      </c>
      <c r="Z10" s="9">
        <f t="shared" si="10"/>
        <v>0</v>
      </c>
      <c r="AA10" s="9">
        <f t="shared" si="11"/>
        <v>-3.4502587694077054E-2</v>
      </c>
      <c r="AB10" s="9">
        <f t="shared" si="12"/>
        <v>1.8463371054198895E-2</v>
      </c>
      <c r="AC10" s="9">
        <f t="shared" si="13"/>
        <v>5.9479553903345687E-2</v>
      </c>
    </row>
    <row r="11" spans="1:35" x14ac:dyDescent="0.35">
      <c r="A11" s="59"/>
      <c r="B11" s="10" t="s">
        <v>6</v>
      </c>
      <c r="C11" s="19">
        <v>164.6</v>
      </c>
      <c r="D11" s="19">
        <v>165.4</v>
      </c>
      <c r="E11" s="19">
        <v>166.3</v>
      </c>
      <c r="F11" s="19">
        <v>167.9</v>
      </c>
      <c r="G11" s="19">
        <v>169.5</v>
      </c>
      <c r="H11" s="19">
        <v>170.9</v>
      </c>
      <c r="I11" s="19">
        <v>172.3</v>
      </c>
      <c r="J11" s="19">
        <v>173.4</v>
      </c>
      <c r="K11" s="19">
        <v>174.3</v>
      </c>
      <c r="L11" s="19">
        <v>177</v>
      </c>
      <c r="M11" s="19">
        <v>177</v>
      </c>
      <c r="N11" s="19">
        <v>178.2</v>
      </c>
      <c r="O11" s="19">
        <v>179.6</v>
      </c>
      <c r="Q11" s="9">
        <f t="shared" si="1"/>
        <v>4.8602673147023776E-3</v>
      </c>
      <c r="R11" s="9">
        <f t="shared" si="2"/>
        <v>5.4413542926239761E-3</v>
      </c>
      <c r="S11" s="9">
        <f t="shared" si="3"/>
        <v>9.6211665664461474E-3</v>
      </c>
      <c r="T11" s="9">
        <f t="shared" si="4"/>
        <v>9.5294818344252193E-3</v>
      </c>
      <c r="U11" s="9">
        <f t="shared" si="5"/>
        <v>8.2595870206490004E-3</v>
      </c>
      <c r="V11" s="9">
        <f t="shared" si="6"/>
        <v>8.1919251023990971E-3</v>
      </c>
      <c r="W11" s="9">
        <f t="shared" si="7"/>
        <v>6.3842135809634021E-3</v>
      </c>
      <c r="X11" s="9">
        <f t="shared" si="8"/>
        <v>5.1903114186851538E-3</v>
      </c>
      <c r="Y11" s="9">
        <f t="shared" si="9"/>
        <v>1.5490533562822654E-2</v>
      </c>
      <c r="Z11" s="9">
        <f t="shared" si="10"/>
        <v>0</v>
      </c>
      <c r="AA11" s="9">
        <f t="shared" si="11"/>
        <v>6.7796610169490882E-3</v>
      </c>
      <c r="AB11" s="9">
        <f t="shared" si="12"/>
        <v>7.8563411896745549E-3</v>
      </c>
      <c r="AC11" s="9">
        <f t="shared" si="13"/>
        <v>9.1130012150668294E-2</v>
      </c>
    </row>
    <row r="12" spans="1:35" x14ac:dyDescent="0.35">
      <c r="A12" s="59"/>
      <c r="B12" s="10" t="s">
        <v>7</v>
      </c>
      <c r="C12" s="19">
        <v>209.9</v>
      </c>
      <c r="D12" s="19">
        <v>208.1</v>
      </c>
      <c r="E12" s="19">
        <v>202.2</v>
      </c>
      <c r="F12" s="19">
        <v>198.1</v>
      </c>
      <c r="G12" s="19">
        <v>194.1</v>
      </c>
      <c r="H12" s="19">
        <v>191.6</v>
      </c>
      <c r="I12" s="19">
        <v>194</v>
      </c>
      <c r="J12" s="19">
        <v>193.9</v>
      </c>
      <c r="K12" s="19">
        <v>192.6</v>
      </c>
      <c r="L12" s="19">
        <v>183.4</v>
      </c>
      <c r="M12" s="19">
        <v>183.3</v>
      </c>
      <c r="N12" s="19">
        <v>178.5</v>
      </c>
      <c r="O12" s="19">
        <v>173.3</v>
      </c>
      <c r="Q12" s="9">
        <f t="shared" si="1"/>
        <v>-8.5755121486422638E-3</v>
      </c>
      <c r="R12" s="9">
        <f t="shared" si="2"/>
        <v>-2.8351753964440202E-2</v>
      </c>
      <c r="S12" s="9">
        <f t="shared" si="3"/>
        <v>-2.0276953511374849E-2</v>
      </c>
      <c r="T12" s="9">
        <f t="shared" si="4"/>
        <v>-2.0191822311963654E-2</v>
      </c>
      <c r="U12" s="9">
        <f t="shared" si="5"/>
        <v>-1.2879958784131892E-2</v>
      </c>
      <c r="V12" s="9">
        <f t="shared" si="6"/>
        <v>1.2526096033402953E-2</v>
      </c>
      <c r="W12" s="9">
        <f t="shared" si="7"/>
        <v>-5.1546391752574393E-4</v>
      </c>
      <c r="X12" s="9">
        <f t="shared" si="8"/>
        <v>-6.7044868488912394E-3</v>
      </c>
      <c r="Y12" s="9">
        <f t="shared" si="9"/>
        <v>-4.7767393561786026E-2</v>
      </c>
      <c r="Z12" s="9">
        <f t="shared" si="10"/>
        <v>-5.4525627044707916E-4</v>
      </c>
      <c r="AA12" s="9">
        <f t="shared" si="11"/>
        <v>-2.61865793780688E-2</v>
      </c>
      <c r="AB12" s="9">
        <f t="shared" si="12"/>
        <v>-2.913165266106436E-2</v>
      </c>
      <c r="AC12" s="9">
        <f t="shared" si="13"/>
        <v>-0.17436874702239158</v>
      </c>
    </row>
    <row r="13" spans="1:35" x14ac:dyDescent="0.35">
      <c r="A13" s="59"/>
      <c r="B13" s="10" t="s">
        <v>8</v>
      </c>
      <c r="C13" s="19">
        <v>168</v>
      </c>
      <c r="D13" s="19">
        <v>165.8</v>
      </c>
      <c r="E13" s="19">
        <v>169.6</v>
      </c>
      <c r="F13" s="19">
        <v>169.2</v>
      </c>
      <c r="G13" s="19">
        <v>164.1</v>
      </c>
      <c r="H13" s="19">
        <v>162.19999999999999</v>
      </c>
      <c r="I13" s="19">
        <v>159.1</v>
      </c>
      <c r="J13" s="19">
        <v>156.69999999999999</v>
      </c>
      <c r="K13" s="19">
        <v>156.30000000000001</v>
      </c>
      <c r="L13" s="19">
        <v>167.2</v>
      </c>
      <c r="M13" s="19">
        <v>167.2</v>
      </c>
      <c r="N13" s="19">
        <v>173.7</v>
      </c>
      <c r="O13" s="19">
        <v>169</v>
      </c>
      <c r="Q13" s="9">
        <f t="shared" si="1"/>
        <v>-1.3095238095238028E-2</v>
      </c>
      <c r="R13" s="9">
        <f t="shared" si="2"/>
        <v>2.2919179734619918E-2</v>
      </c>
      <c r="S13" s="9">
        <f t="shared" si="3"/>
        <v>-2.3584905660377696E-3</v>
      </c>
      <c r="T13" s="9">
        <f t="shared" si="4"/>
        <v>-3.0141843971631173E-2</v>
      </c>
      <c r="U13" s="9">
        <f t="shared" si="5"/>
        <v>-1.1578305911029894E-2</v>
      </c>
      <c r="V13" s="9">
        <f t="shared" si="6"/>
        <v>-1.9112207151664579E-2</v>
      </c>
      <c r="W13" s="9">
        <f t="shared" si="7"/>
        <v>-1.5084852294154657E-2</v>
      </c>
      <c r="X13" s="9">
        <f t="shared" si="8"/>
        <v>-2.5526483726865173E-3</v>
      </c>
      <c r="Y13" s="9">
        <f t="shared" si="9"/>
        <v>6.973768394113869E-2</v>
      </c>
      <c r="Z13" s="9">
        <f t="shared" si="10"/>
        <v>0</v>
      </c>
      <c r="AA13" s="9">
        <f t="shared" si="11"/>
        <v>3.8875598086124404E-2</v>
      </c>
      <c r="AB13" s="9">
        <f t="shared" si="12"/>
        <v>-2.7058146229130622E-2</v>
      </c>
      <c r="AC13" s="9">
        <f t="shared" si="13"/>
        <v>5.9523809523809521E-3</v>
      </c>
    </row>
    <row r="14" spans="1:35" x14ac:dyDescent="0.35">
      <c r="A14" s="59"/>
      <c r="B14" s="10" t="s">
        <v>9</v>
      </c>
      <c r="C14" s="19">
        <v>160.4</v>
      </c>
      <c r="D14" s="19">
        <v>167.3</v>
      </c>
      <c r="E14" s="19">
        <v>168.6</v>
      </c>
      <c r="F14" s="19">
        <v>173.1</v>
      </c>
      <c r="G14" s="19">
        <v>176.9</v>
      </c>
      <c r="H14" s="19">
        <v>184.8</v>
      </c>
      <c r="I14" s="19">
        <v>171.6</v>
      </c>
      <c r="J14" s="19">
        <v>150.19999999999999</v>
      </c>
      <c r="K14" s="19">
        <v>142.9</v>
      </c>
      <c r="L14" s="19">
        <v>140.9</v>
      </c>
      <c r="M14" s="19">
        <v>140.9</v>
      </c>
      <c r="N14" s="19">
        <v>142.80000000000001</v>
      </c>
      <c r="O14" s="19">
        <v>148.69999999999999</v>
      </c>
      <c r="Q14" s="9">
        <f t="shared" si="1"/>
        <v>4.3017456359102278E-2</v>
      </c>
      <c r="R14" s="9">
        <f t="shared" si="2"/>
        <v>7.770472205618547E-3</v>
      </c>
      <c r="S14" s="9">
        <f t="shared" si="3"/>
        <v>2.6690391459074734E-2</v>
      </c>
      <c r="T14" s="9">
        <f t="shared" si="4"/>
        <v>2.1952628538417167E-2</v>
      </c>
      <c r="U14" s="9">
        <f t="shared" si="5"/>
        <v>4.4657998869417778E-2</v>
      </c>
      <c r="V14" s="9">
        <f t="shared" si="6"/>
        <v>-7.1428571428571522E-2</v>
      </c>
      <c r="W14" s="9">
        <f t="shared" si="7"/>
        <v>-0.12470862470862475</v>
      </c>
      <c r="X14" s="9">
        <f t="shared" si="8"/>
        <v>-4.8601864181091768E-2</v>
      </c>
      <c r="Y14" s="9">
        <f t="shared" si="9"/>
        <v>-1.3995801259622112E-2</v>
      </c>
      <c r="Z14" s="9">
        <f t="shared" si="10"/>
        <v>0</v>
      </c>
      <c r="AA14" s="9">
        <f t="shared" si="11"/>
        <v>1.3484740951029138E-2</v>
      </c>
      <c r="AB14" s="9">
        <f t="shared" si="12"/>
        <v>4.1316526610644097E-2</v>
      </c>
      <c r="AC14" s="9">
        <f t="shared" si="13"/>
        <v>-7.2942643391521303E-2</v>
      </c>
    </row>
    <row r="15" spans="1:35" x14ac:dyDescent="0.35">
      <c r="A15" s="59"/>
      <c r="B15" s="10" t="s">
        <v>10</v>
      </c>
      <c r="C15" s="19">
        <v>165</v>
      </c>
      <c r="D15" s="19">
        <v>164.6</v>
      </c>
      <c r="E15" s="19">
        <v>164.4</v>
      </c>
      <c r="F15" s="19">
        <v>167.1</v>
      </c>
      <c r="G15" s="19">
        <v>169</v>
      </c>
      <c r="H15" s="19">
        <v>169.7</v>
      </c>
      <c r="I15" s="19">
        <v>170.2</v>
      </c>
      <c r="J15" s="19">
        <v>170.5</v>
      </c>
      <c r="K15" s="19">
        <v>170.7</v>
      </c>
      <c r="L15" s="19">
        <v>170.4</v>
      </c>
      <c r="M15" s="19">
        <v>170.5</v>
      </c>
      <c r="N15" s="19">
        <v>172.8</v>
      </c>
      <c r="O15" s="19">
        <v>174.9</v>
      </c>
      <c r="Q15" s="9">
        <f t="shared" si="1"/>
        <v>-2.4242424242424585E-3</v>
      </c>
      <c r="R15" s="9">
        <f t="shared" si="2"/>
        <v>-1.2150668286755081E-3</v>
      </c>
      <c r="S15" s="9">
        <f t="shared" si="3"/>
        <v>1.6423357664233508E-2</v>
      </c>
      <c r="T15" s="9">
        <f t="shared" si="4"/>
        <v>1.1370436864153236E-2</v>
      </c>
      <c r="U15" s="9">
        <f t="shared" si="5"/>
        <v>4.1420118343194591E-3</v>
      </c>
      <c r="V15" s="9">
        <f t="shared" si="6"/>
        <v>2.9463759575721863E-3</v>
      </c>
      <c r="W15" s="9">
        <f t="shared" si="7"/>
        <v>1.7626321974148729E-3</v>
      </c>
      <c r="X15" s="9">
        <f t="shared" si="8"/>
        <v>1.173020527859171E-3</v>
      </c>
      <c r="Y15" s="9">
        <f t="shared" si="9"/>
        <v>-1.7574692442881251E-3</v>
      </c>
      <c r="Z15" s="9">
        <f t="shared" si="10"/>
        <v>5.8685446009386333E-4</v>
      </c>
      <c r="AA15" s="9">
        <f t="shared" si="11"/>
        <v>1.3489736070381298E-2</v>
      </c>
      <c r="AB15" s="9">
        <f t="shared" si="12"/>
        <v>1.2152777777777743E-2</v>
      </c>
      <c r="AC15" s="9">
        <f t="shared" si="13"/>
        <v>6.0000000000000032E-2</v>
      </c>
    </row>
    <row r="16" spans="1:35" x14ac:dyDescent="0.35">
      <c r="A16" s="59"/>
      <c r="B16" s="10" t="s">
        <v>12</v>
      </c>
      <c r="C16" s="19">
        <v>186.6</v>
      </c>
      <c r="D16" s="19">
        <v>188.9</v>
      </c>
      <c r="E16" s="19">
        <v>191.8</v>
      </c>
      <c r="F16" s="19">
        <v>195.6</v>
      </c>
      <c r="G16" s="19">
        <v>199.1</v>
      </c>
      <c r="H16" s="19">
        <v>201.6</v>
      </c>
      <c r="I16" s="19">
        <v>204.8</v>
      </c>
      <c r="J16" s="19">
        <v>207.5</v>
      </c>
      <c r="K16" s="19">
        <v>210.5</v>
      </c>
      <c r="L16" s="19">
        <v>212.1</v>
      </c>
      <c r="M16" s="19">
        <v>212.1</v>
      </c>
      <c r="N16" s="19">
        <v>215.5</v>
      </c>
      <c r="O16" s="19">
        <v>221</v>
      </c>
      <c r="Q16" s="9">
        <f t="shared" si="1"/>
        <v>1.2325830653804992E-2</v>
      </c>
      <c r="R16" s="9">
        <f t="shared" si="2"/>
        <v>1.5352038115405005E-2</v>
      </c>
      <c r="S16" s="9">
        <f t="shared" si="3"/>
        <v>1.981230448383724E-2</v>
      </c>
      <c r="T16" s="9">
        <f t="shared" si="4"/>
        <v>1.7893660531697341E-2</v>
      </c>
      <c r="U16" s="9">
        <f t="shared" si="5"/>
        <v>1.2556504269211451E-2</v>
      </c>
      <c r="V16" s="9">
        <f t="shared" si="6"/>
        <v>1.5873015873015959E-2</v>
      </c>
      <c r="W16" s="9">
        <f t="shared" si="7"/>
        <v>1.3183593749999944E-2</v>
      </c>
      <c r="X16" s="9">
        <f t="shared" si="8"/>
        <v>1.4457831325301205E-2</v>
      </c>
      <c r="Y16" s="9">
        <f t="shared" si="9"/>
        <v>7.6009501187648187E-3</v>
      </c>
      <c r="Z16" s="9">
        <f t="shared" si="10"/>
        <v>0</v>
      </c>
      <c r="AA16" s="9">
        <f t="shared" si="11"/>
        <v>1.6030174446016059E-2</v>
      </c>
      <c r="AB16" s="9">
        <f t="shared" si="12"/>
        <v>2.5522041763341066E-2</v>
      </c>
      <c r="AC16" s="9">
        <f t="shared" si="13"/>
        <v>0.18435155412647378</v>
      </c>
    </row>
    <row r="17" spans="1:29" x14ac:dyDescent="0.35">
      <c r="A17" s="60" t="s">
        <v>75</v>
      </c>
      <c r="B17" s="10" t="s">
        <v>11</v>
      </c>
      <c r="C17" s="19">
        <v>118.9</v>
      </c>
      <c r="D17" s="19">
        <v>119.1</v>
      </c>
      <c r="E17" s="19">
        <v>119.2</v>
      </c>
      <c r="F17" s="19">
        <v>120.2</v>
      </c>
      <c r="G17" s="19">
        <v>120.8</v>
      </c>
      <c r="H17" s="19">
        <v>121.1</v>
      </c>
      <c r="I17" s="19">
        <v>121.5</v>
      </c>
      <c r="J17" s="19">
        <v>121.2</v>
      </c>
      <c r="K17" s="19">
        <v>120.3</v>
      </c>
      <c r="L17" s="19">
        <v>119.1</v>
      </c>
      <c r="M17" s="19">
        <v>119.1</v>
      </c>
      <c r="N17" s="19">
        <v>120.4</v>
      </c>
      <c r="O17" s="19">
        <v>121.9</v>
      </c>
      <c r="Q17" s="9">
        <f t="shared" si="1"/>
        <v>1.6820857863750094E-3</v>
      </c>
      <c r="R17" s="9">
        <f t="shared" ref="R17:AB21" si="14">(E17-D17)/D17</f>
        <v>8.3963056255254855E-4</v>
      </c>
      <c r="S17" s="9">
        <f t="shared" si="14"/>
        <v>8.389261744966443E-3</v>
      </c>
      <c r="T17" s="9">
        <f t="shared" si="14"/>
        <v>4.9916805324458757E-3</v>
      </c>
      <c r="U17" s="9">
        <f t="shared" si="14"/>
        <v>2.4834437086092482E-3</v>
      </c>
      <c r="V17" s="9">
        <f t="shared" si="14"/>
        <v>3.3030553261767606E-3</v>
      </c>
      <c r="W17" s="9">
        <f t="shared" si="14"/>
        <v>-2.4691358024691123E-3</v>
      </c>
      <c r="X17" s="9">
        <f t="shared" si="14"/>
        <v>-7.4257425742574722E-3</v>
      </c>
      <c r="Y17" s="9">
        <f t="shared" si="14"/>
        <v>-9.9750623441396749E-3</v>
      </c>
      <c r="Z17" s="9">
        <f t="shared" si="14"/>
        <v>0</v>
      </c>
      <c r="AA17" s="9">
        <f t="shared" si="14"/>
        <v>1.0915197313182296E-2</v>
      </c>
      <c r="AB17" s="9">
        <f t="shared" si="14"/>
        <v>1.2458471760797342E-2</v>
      </c>
      <c r="AC17" s="9">
        <f t="shared" si="13"/>
        <v>2.5231286795626577E-2</v>
      </c>
    </row>
    <row r="18" spans="1:29" x14ac:dyDescent="0.35">
      <c r="A18" s="60"/>
      <c r="B18" s="10" t="s">
        <v>13</v>
      </c>
      <c r="C18" s="19">
        <v>173.2</v>
      </c>
      <c r="D18" s="19">
        <v>174.2</v>
      </c>
      <c r="E18" s="19">
        <v>174.5</v>
      </c>
      <c r="F18" s="19">
        <v>174.8</v>
      </c>
      <c r="G18" s="19">
        <v>175.4</v>
      </c>
      <c r="H18" s="19">
        <v>175.8</v>
      </c>
      <c r="I18" s="19">
        <v>176.4</v>
      </c>
      <c r="J18" s="19">
        <v>176.8</v>
      </c>
      <c r="K18" s="19">
        <v>176.9</v>
      </c>
      <c r="L18" s="19">
        <v>177.6</v>
      </c>
      <c r="M18" s="19">
        <v>177.6</v>
      </c>
      <c r="N18" s="19">
        <v>178.2</v>
      </c>
      <c r="O18" s="19">
        <v>178.7</v>
      </c>
      <c r="Q18" s="9">
        <f>(D18-C18)/C18</f>
        <v>5.7736720554272519E-3</v>
      </c>
      <c r="R18" s="9">
        <f t="shared" si="14"/>
        <v>1.7221584385764144E-3</v>
      </c>
      <c r="S18" s="9">
        <f t="shared" si="14"/>
        <v>1.7191977077364547E-3</v>
      </c>
      <c r="T18" s="9">
        <f t="shared" si="14"/>
        <v>3.4324942791761686E-3</v>
      </c>
      <c r="U18" s="9">
        <f t="shared" si="14"/>
        <v>2.2805017103763149E-3</v>
      </c>
      <c r="V18" s="9">
        <f t="shared" si="14"/>
        <v>3.412969283276418E-3</v>
      </c>
      <c r="W18" s="9">
        <f t="shared" si="14"/>
        <v>2.2675736961451569E-3</v>
      </c>
      <c r="X18" s="9">
        <f t="shared" si="14"/>
        <v>5.6561085972847464E-4</v>
      </c>
      <c r="Y18" s="9">
        <f t="shared" si="14"/>
        <v>3.9570378745053059E-3</v>
      </c>
      <c r="Z18" s="9">
        <f t="shared" si="14"/>
        <v>0</v>
      </c>
      <c r="AA18" s="9">
        <f t="shared" si="14"/>
        <v>3.3783783783783465E-3</v>
      </c>
      <c r="AB18" s="9">
        <f t="shared" si="14"/>
        <v>2.8058361391694727E-3</v>
      </c>
      <c r="AC18" s="9">
        <f t="shared" si="13"/>
        <v>3.1755196304849888E-2</v>
      </c>
    </row>
    <row r="19" spans="1:29" x14ac:dyDescent="0.35">
      <c r="A19" s="60"/>
      <c r="B19" s="10" t="s">
        <v>74</v>
      </c>
      <c r="C19" s="19">
        <v>180.4</v>
      </c>
      <c r="D19" s="19">
        <v>181.9</v>
      </c>
      <c r="E19" s="19">
        <v>183.1</v>
      </c>
      <c r="F19" s="19">
        <v>184</v>
      </c>
      <c r="G19" s="19">
        <v>184.8</v>
      </c>
      <c r="H19" s="19">
        <v>185.6</v>
      </c>
      <c r="I19" s="19">
        <v>186.9</v>
      </c>
      <c r="J19" s="19">
        <v>187.7</v>
      </c>
      <c r="K19" s="19">
        <v>188.5</v>
      </c>
      <c r="L19" s="19">
        <v>189.9</v>
      </c>
      <c r="M19" s="19">
        <v>189.9</v>
      </c>
      <c r="N19" s="19">
        <v>190.5</v>
      </c>
      <c r="O19" s="19">
        <v>191.1</v>
      </c>
      <c r="Q19" s="9">
        <f>(D19-C19)/C19</f>
        <v>8.3148558758314849E-3</v>
      </c>
      <c r="R19" s="9">
        <f t="shared" si="14"/>
        <v>6.5970313358987825E-3</v>
      </c>
      <c r="S19" s="9">
        <f t="shared" si="14"/>
        <v>4.9153468050246079E-3</v>
      </c>
      <c r="T19" s="9">
        <f t="shared" si="14"/>
        <v>4.3478260869565834E-3</v>
      </c>
      <c r="U19" s="9">
        <f t="shared" si="14"/>
        <v>4.3290043290042362E-3</v>
      </c>
      <c r="V19" s="9">
        <f t="shared" si="14"/>
        <v>7.0043103448276479E-3</v>
      </c>
      <c r="W19" s="9">
        <f t="shared" si="14"/>
        <v>4.2803638309255373E-3</v>
      </c>
      <c r="X19" s="9">
        <f t="shared" si="14"/>
        <v>4.2621204049014989E-3</v>
      </c>
      <c r="Y19" s="9">
        <f t="shared" si="14"/>
        <v>7.4270557029178022E-3</v>
      </c>
      <c r="Z19" s="9">
        <f t="shared" si="14"/>
        <v>0</v>
      </c>
      <c r="AA19" s="9">
        <f t="shared" si="14"/>
        <v>3.1595576619273002E-3</v>
      </c>
      <c r="AB19" s="9">
        <f t="shared" si="14"/>
        <v>3.1496062992125685E-3</v>
      </c>
      <c r="AC19" s="9">
        <f t="shared" si="13"/>
        <v>5.93126385809312E-2</v>
      </c>
    </row>
    <row r="20" spans="1:29" x14ac:dyDescent="0.35">
      <c r="A20" s="60"/>
      <c r="B20" s="10" t="s">
        <v>15</v>
      </c>
      <c r="C20" s="19">
        <v>170.8</v>
      </c>
      <c r="D20" s="19">
        <v>172.4</v>
      </c>
      <c r="E20" s="19">
        <v>172.5</v>
      </c>
      <c r="F20" s="19">
        <v>173.9</v>
      </c>
      <c r="G20" s="19">
        <v>175.5</v>
      </c>
      <c r="H20" s="19">
        <v>177.4</v>
      </c>
      <c r="I20" s="19">
        <v>176.6</v>
      </c>
      <c r="J20" s="19">
        <v>174.4</v>
      </c>
      <c r="K20" s="19">
        <v>175</v>
      </c>
      <c r="L20" s="19">
        <v>174.8</v>
      </c>
      <c r="M20" s="19">
        <v>174.8</v>
      </c>
      <c r="N20" s="19">
        <v>175.5</v>
      </c>
      <c r="O20" s="19">
        <v>176.8</v>
      </c>
      <c r="Q20" s="9">
        <f>(D20-C20)/C20</f>
        <v>9.3676814988290051E-3</v>
      </c>
      <c r="R20" s="9">
        <f t="shared" si="14"/>
        <v>5.80046403712264E-4</v>
      </c>
      <c r="S20" s="9">
        <f t="shared" si="14"/>
        <v>8.1159420289855407E-3</v>
      </c>
      <c r="T20" s="9">
        <f t="shared" si="14"/>
        <v>9.2006900517538487E-3</v>
      </c>
      <c r="U20" s="9">
        <f t="shared" si="14"/>
        <v>1.0826210826210859E-2</v>
      </c>
      <c r="V20" s="9">
        <f t="shared" si="14"/>
        <v>-4.5095828635851824E-3</v>
      </c>
      <c r="W20" s="9">
        <f t="shared" si="14"/>
        <v>-1.2457531143827796E-2</v>
      </c>
      <c r="X20" s="9">
        <f t="shared" si="14"/>
        <v>3.4403669724770315E-3</v>
      </c>
      <c r="Y20" s="9">
        <f t="shared" si="14"/>
        <v>-1.1428571428570779E-3</v>
      </c>
      <c r="Z20" s="9">
        <f t="shared" si="14"/>
        <v>0</v>
      </c>
      <c r="AA20" s="9">
        <f t="shared" si="14"/>
        <v>4.0045766590388367E-3</v>
      </c>
      <c r="AB20" s="9">
        <f t="shared" si="14"/>
        <v>7.4074074074074719E-3</v>
      </c>
      <c r="AC20" s="9">
        <f t="shared" si="13"/>
        <v>3.5128805620608897E-2</v>
      </c>
    </row>
    <row r="21" spans="1:29" x14ac:dyDescent="0.35">
      <c r="A21" s="60"/>
      <c r="B21" s="10" t="s">
        <v>73</v>
      </c>
      <c r="C21" s="19">
        <v>192.9</v>
      </c>
      <c r="D21" s="19">
        <v>192.9</v>
      </c>
      <c r="E21" s="19">
        <v>193.2</v>
      </c>
      <c r="F21" s="19">
        <v>193.7</v>
      </c>
      <c r="G21" s="19">
        <v>194.5</v>
      </c>
      <c r="H21" s="19">
        <v>194.9</v>
      </c>
      <c r="I21" s="19">
        <v>195.5</v>
      </c>
      <c r="J21" s="19">
        <v>195.9</v>
      </c>
      <c r="K21" s="19">
        <v>196.9</v>
      </c>
      <c r="L21" s="19">
        <v>198.3</v>
      </c>
      <c r="M21" s="19">
        <v>198.4</v>
      </c>
      <c r="N21" s="19">
        <v>199.5</v>
      </c>
      <c r="O21" s="19">
        <v>199.9</v>
      </c>
      <c r="Q21" s="9">
        <f>(D21-C21)/C21</f>
        <v>0</v>
      </c>
      <c r="R21" s="9">
        <f t="shared" si="14"/>
        <v>1.5552099533436129E-3</v>
      </c>
      <c r="S21" s="9">
        <f t="shared" si="14"/>
        <v>2.587991718426501E-3</v>
      </c>
      <c r="T21" s="9">
        <f t="shared" si="14"/>
        <v>4.1300980898296927E-3</v>
      </c>
      <c r="U21" s="9">
        <f t="shared" si="14"/>
        <v>2.0565552699229085E-3</v>
      </c>
      <c r="V21" s="9">
        <f t="shared" si="14"/>
        <v>3.0785017957926848E-3</v>
      </c>
      <c r="W21" s="9">
        <f t="shared" si="14"/>
        <v>2.0460358056266273E-3</v>
      </c>
      <c r="X21" s="9">
        <f t="shared" si="14"/>
        <v>5.1046452271567124E-3</v>
      </c>
      <c r="Y21" s="9">
        <f t="shared" si="14"/>
        <v>7.1102082275266917E-3</v>
      </c>
      <c r="Z21" s="9">
        <f t="shared" si="14"/>
        <v>5.0428643469487802E-4</v>
      </c>
      <c r="AA21" s="9">
        <f t="shared" si="14"/>
        <v>5.5443548387096482E-3</v>
      </c>
      <c r="AB21" s="9">
        <f t="shared" si="14"/>
        <v>2.0050125313283494E-3</v>
      </c>
      <c r="AC21" s="9">
        <f t="shared" si="13"/>
        <v>3.6288232244686365E-2</v>
      </c>
    </row>
    <row r="24" spans="1:29" x14ac:dyDescent="0.35">
      <c r="A24" s="55"/>
      <c r="B24" s="15" t="s">
        <v>1</v>
      </c>
      <c r="C24" s="20">
        <v>44682</v>
      </c>
      <c r="D24" s="20">
        <v>44713</v>
      </c>
      <c r="E24" s="20">
        <v>44743</v>
      </c>
      <c r="F24" s="20">
        <v>44774</v>
      </c>
      <c r="G24" s="20">
        <v>44805</v>
      </c>
      <c r="H24" s="20">
        <v>44835</v>
      </c>
      <c r="I24" s="20">
        <v>44866</v>
      </c>
      <c r="J24" s="20">
        <v>44896</v>
      </c>
      <c r="K24" s="20">
        <v>44927</v>
      </c>
      <c r="L24" s="20">
        <v>44958</v>
      </c>
      <c r="M24" s="20">
        <v>44986</v>
      </c>
      <c r="N24" s="20">
        <v>45017</v>
      </c>
      <c r="O24" s="20">
        <v>45047</v>
      </c>
    </row>
    <row r="25" spans="1:29" x14ac:dyDescent="0.35">
      <c r="A25" s="55"/>
      <c r="B25" s="56" t="s">
        <v>76</v>
      </c>
      <c r="C25" s="17">
        <f>SUM(C8:C16)</f>
        <v>1583.5</v>
      </c>
      <c r="D25" s="17">
        <f>SUM(D8:D16)</f>
        <v>1600.7</v>
      </c>
      <c r="E25" s="17">
        <f>SUM(E8:E16)</f>
        <v>1603.1999999999998</v>
      </c>
      <c r="F25" s="17">
        <f>SUM(F8:F16)</f>
        <v>1602.8999999999999</v>
      </c>
      <c r="G25" s="17">
        <f>SUM(G8:G16)</f>
        <v>1611.3</v>
      </c>
      <c r="H25" s="17">
        <f t="shared" ref="H25:O25" si="15">SUM(H8:H16)</f>
        <v>1624.6</v>
      </c>
      <c r="I25" s="17">
        <f t="shared" si="15"/>
        <v>1626.2999999999997</v>
      </c>
      <c r="J25" s="17">
        <f t="shared" si="15"/>
        <v>1617</v>
      </c>
      <c r="K25" s="17">
        <f t="shared" si="15"/>
        <v>1622.5000000000002</v>
      </c>
      <c r="L25" s="17">
        <f t="shared" si="15"/>
        <v>1604.3</v>
      </c>
      <c r="M25" s="17">
        <f t="shared" si="15"/>
        <v>1604.4</v>
      </c>
      <c r="N25" s="17">
        <f t="shared" si="15"/>
        <v>1609.6</v>
      </c>
      <c r="O25" s="17">
        <f t="shared" si="15"/>
        <v>1622.2000000000003</v>
      </c>
    </row>
    <row r="26" spans="1:29" x14ac:dyDescent="0.35">
      <c r="A26" s="55"/>
      <c r="B26" s="56"/>
      <c r="C26" s="5" t="s">
        <v>80</v>
      </c>
      <c r="D26" s="9">
        <f>(D25-C25)/C25</f>
        <v>1.0862014524786892E-2</v>
      </c>
      <c r="E26" s="9">
        <f t="shared" ref="E26:O26" si="16">(E25-D25)/D25</f>
        <v>1.5618167051913367E-3</v>
      </c>
      <c r="F26" s="9">
        <f t="shared" si="16"/>
        <v>-1.8712574850296567E-4</v>
      </c>
      <c r="G26" s="9">
        <f t="shared" si="16"/>
        <v>5.2405015908666116E-3</v>
      </c>
      <c r="H26" s="9">
        <f t="shared" si="16"/>
        <v>8.254204679451347E-3</v>
      </c>
      <c r="I26" s="9">
        <f t="shared" si="16"/>
        <v>1.0464114243504976E-3</v>
      </c>
      <c r="J26" s="9">
        <f t="shared" si="16"/>
        <v>-5.7185021213796523E-3</v>
      </c>
      <c r="K26" s="9">
        <f t="shared" si="16"/>
        <v>3.4013605442178279E-3</v>
      </c>
      <c r="L26" s="9">
        <f t="shared" si="16"/>
        <v>-1.1217257318952401E-2</v>
      </c>
      <c r="M26" s="9">
        <f t="shared" si="16"/>
        <v>6.2332481456171804E-5</v>
      </c>
      <c r="N26" s="9">
        <f t="shared" si="16"/>
        <v>3.2410870107204052E-3</v>
      </c>
      <c r="O26" s="9">
        <f t="shared" si="16"/>
        <v>7.8280318091453558E-3</v>
      </c>
    </row>
    <row r="27" spans="1:29" x14ac:dyDescent="0.35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</row>
    <row r="28" spans="1:29" x14ac:dyDescent="0.35">
      <c r="A28" s="55"/>
      <c r="B28" s="57" t="s">
        <v>75</v>
      </c>
      <c r="C28" s="17">
        <f>SUM(C17:C21)</f>
        <v>836.19999999999993</v>
      </c>
      <c r="D28" s="17">
        <f t="shared" ref="D28:O28" si="17">SUM(D17:D21)</f>
        <v>840.49999999999989</v>
      </c>
      <c r="E28" s="17">
        <f t="shared" si="17"/>
        <v>842.5</v>
      </c>
      <c r="F28" s="17">
        <f t="shared" si="17"/>
        <v>846.59999999999991</v>
      </c>
      <c r="G28" s="17">
        <f t="shared" si="17"/>
        <v>851</v>
      </c>
      <c r="H28" s="17">
        <f t="shared" si="17"/>
        <v>854.8</v>
      </c>
      <c r="I28" s="17">
        <f t="shared" si="17"/>
        <v>856.9</v>
      </c>
      <c r="J28" s="17">
        <f t="shared" si="17"/>
        <v>856</v>
      </c>
      <c r="K28" s="17">
        <f t="shared" si="17"/>
        <v>857.6</v>
      </c>
      <c r="L28" s="17">
        <f t="shared" si="17"/>
        <v>859.7</v>
      </c>
      <c r="M28" s="17">
        <f t="shared" si="17"/>
        <v>859.80000000000007</v>
      </c>
      <c r="N28" s="17">
        <f t="shared" si="17"/>
        <v>864.1</v>
      </c>
      <c r="O28" s="17">
        <f t="shared" si="17"/>
        <v>868.4</v>
      </c>
    </row>
    <row r="29" spans="1:29" x14ac:dyDescent="0.35">
      <c r="A29" s="55"/>
      <c r="B29" s="57"/>
      <c r="C29" s="5" t="s">
        <v>80</v>
      </c>
      <c r="D29" s="9">
        <f>(D28-C28)/C28</f>
        <v>5.1423104520449117E-3</v>
      </c>
      <c r="E29" s="9">
        <f t="shared" ref="E29:O29" si="18">(E28-D28)/D28</f>
        <v>2.3795359904819915E-3</v>
      </c>
      <c r="F29" s="9">
        <f t="shared" si="18"/>
        <v>4.8664688427298621E-3</v>
      </c>
      <c r="G29" s="9">
        <f t="shared" si="18"/>
        <v>5.1972596267423708E-3</v>
      </c>
      <c r="H29" s="9">
        <f t="shared" si="18"/>
        <v>4.465334900117455E-3</v>
      </c>
      <c r="I29" s="9">
        <f t="shared" si="18"/>
        <v>2.456715021057584E-3</v>
      </c>
      <c r="J29" s="9">
        <f t="shared" si="18"/>
        <v>-1.0502975843155295E-3</v>
      </c>
      <c r="K29" s="9">
        <f t="shared" si="18"/>
        <v>1.8691588785046994E-3</v>
      </c>
      <c r="L29" s="9">
        <f t="shared" si="18"/>
        <v>2.4486940298507729E-3</v>
      </c>
      <c r="M29" s="9">
        <f t="shared" si="18"/>
        <v>1.1631964638830143E-4</v>
      </c>
      <c r="N29" s="9">
        <f t="shared" si="18"/>
        <v>5.0011630611769648E-3</v>
      </c>
      <c r="O29" s="9">
        <f t="shared" si="18"/>
        <v>4.9762758939936981E-3</v>
      </c>
    </row>
    <row r="32" spans="1:29" x14ac:dyDescent="0.35">
      <c r="B32" s="5" t="s">
        <v>0</v>
      </c>
      <c r="C32" s="62" t="s">
        <v>33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Q32" s="62" t="s">
        <v>33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</row>
    <row r="33" spans="1:29" x14ac:dyDescent="0.35">
      <c r="A33" s="59" t="s">
        <v>76</v>
      </c>
      <c r="B33" s="10" t="s">
        <v>64</v>
      </c>
      <c r="C33" s="20" t="s">
        <v>38</v>
      </c>
      <c r="D33" s="20" t="s">
        <v>39</v>
      </c>
      <c r="E33" s="20" t="s">
        <v>40</v>
      </c>
      <c r="F33" s="20" t="s">
        <v>41</v>
      </c>
      <c r="G33" s="20" t="s">
        <v>42</v>
      </c>
      <c r="H33" s="20" t="s">
        <v>43</v>
      </c>
      <c r="I33" s="20" t="s">
        <v>45</v>
      </c>
      <c r="J33" s="20" t="s">
        <v>46</v>
      </c>
      <c r="K33" s="20" t="s">
        <v>31</v>
      </c>
      <c r="L33" s="20" t="s">
        <v>35</v>
      </c>
      <c r="M33" s="20" t="s">
        <v>36</v>
      </c>
      <c r="N33" s="20" t="s">
        <v>37</v>
      </c>
      <c r="O33" s="20" t="s">
        <v>38</v>
      </c>
      <c r="Q33" s="20">
        <v>44713</v>
      </c>
      <c r="R33" s="20">
        <v>44743</v>
      </c>
      <c r="S33" s="20">
        <v>44774</v>
      </c>
      <c r="T33" s="20">
        <v>44805</v>
      </c>
      <c r="U33" s="20">
        <v>44835</v>
      </c>
      <c r="V33" s="20">
        <v>44866</v>
      </c>
      <c r="W33" s="20">
        <v>44896</v>
      </c>
      <c r="X33" s="20">
        <v>44927</v>
      </c>
      <c r="Y33" s="20">
        <v>44958</v>
      </c>
      <c r="Z33" s="20">
        <v>44986</v>
      </c>
      <c r="AA33" s="20">
        <v>45017</v>
      </c>
      <c r="AB33" s="20">
        <v>45047</v>
      </c>
      <c r="AC33" s="20" t="s">
        <v>81</v>
      </c>
    </row>
    <row r="34" spans="1:29" x14ac:dyDescent="0.35">
      <c r="A34" s="59"/>
      <c r="B34" s="10" t="s">
        <v>3</v>
      </c>
      <c r="C34" s="19">
        <v>156.69999999999999</v>
      </c>
      <c r="D34" s="19">
        <v>157.5</v>
      </c>
      <c r="E34" s="19">
        <v>159.30000000000001</v>
      </c>
      <c r="F34" s="19">
        <v>162.1</v>
      </c>
      <c r="G34" s="19">
        <v>164.9</v>
      </c>
      <c r="H34" s="19">
        <v>166.4</v>
      </c>
      <c r="I34" s="19">
        <v>168.4</v>
      </c>
      <c r="J34" s="19">
        <v>170.2</v>
      </c>
      <c r="K34" s="19">
        <v>173.3</v>
      </c>
      <c r="L34" s="19">
        <v>174.7</v>
      </c>
      <c r="M34" s="19">
        <v>174.7</v>
      </c>
      <c r="N34" s="19">
        <v>174.8</v>
      </c>
      <c r="O34" s="19">
        <v>174.7</v>
      </c>
      <c r="Q34" s="9">
        <f>(D34-C34)/C34</f>
        <v>5.105296745373398E-3</v>
      </c>
      <c r="R34" s="9">
        <f t="shared" ref="R34:AB34" si="19">(E34-D34)/D34</f>
        <v>1.1428571428571501E-2</v>
      </c>
      <c r="S34" s="9">
        <f t="shared" si="19"/>
        <v>1.7576898932831028E-2</v>
      </c>
      <c r="T34" s="9">
        <f t="shared" si="19"/>
        <v>1.7273288093769348E-2</v>
      </c>
      <c r="U34" s="9">
        <f t="shared" si="19"/>
        <v>9.0964220739842318E-3</v>
      </c>
      <c r="V34" s="9">
        <f t="shared" si="19"/>
        <v>1.2019230769230768E-2</v>
      </c>
      <c r="W34" s="9">
        <f t="shared" si="19"/>
        <v>1.0688836104512963E-2</v>
      </c>
      <c r="X34" s="9">
        <f t="shared" si="19"/>
        <v>1.821386603995313E-2</v>
      </c>
      <c r="Y34" s="9">
        <f t="shared" si="19"/>
        <v>8.078476630121045E-3</v>
      </c>
      <c r="Z34" s="9">
        <f t="shared" si="19"/>
        <v>0</v>
      </c>
      <c r="AA34" s="9">
        <f t="shared" si="19"/>
        <v>5.7240984544947189E-4</v>
      </c>
      <c r="AB34" s="9">
        <f t="shared" si="19"/>
        <v>-5.7208237986283023E-4</v>
      </c>
      <c r="AC34" s="9">
        <f t="shared" ref="AC34:AC47" si="20">($O34-$C34)/$C34</f>
        <v>0.11486917677089982</v>
      </c>
    </row>
    <row r="35" spans="1:29" x14ac:dyDescent="0.35">
      <c r="A35" s="59"/>
      <c r="B35" s="10" t="s">
        <v>4</v>
      </c>
      <c r="C35" s="19">
        <v>221.2</v>
      </c>
      <c r="D35" s="19">
        <v>223.4</v>
      </c>
      <c r="E35" s="19">
        <v>217.1</v>
      </c>
      <c r="F35" s="19">
        <v>210.9</v>
      </c>
      <c r="G35" s="19">
        <v>213.7</v>
      </c>
      <c r="H35" s="19">
        <v>214.9</v>
      </c>
      <c r="I35" s="19">
        <v>213.4</v>
      </c>
      <c r="J35" s="19">
        <v>212.9</v>
      </c>
      <c r="K35" s="19">
        <v>215.2</v>
      </c>
      <c r="L35" s="19">
        <v>212.2</v>
      </c>
      <c r="M35" s="19">
        <v>212.2</v>
      </c>
      <c r="N35" s="19">
        <v>213.7</v>
      </c>
      <c r="O35" s="19">
        <v>219.4</v>
      </c>
      <c r="Q35" s="9">
        <f t="shared" ref="Q35:Q42" si="21">(D35-C35)/C35</f>
        <v>9.9457504520796443E-3</v>
      </c>
      <c r="R35" s="9">
        <f t="shared" ref="R35:R42" si="22">(E35-D35)/D35</f>
        <v>-2.8200537153088682E-2</v>
      </c>
      <c r="S35" s="9">
        <f t="shared" ref="S35:S42" si="23">(F35-E35)/E35</f>
        <v>-2.8558268079226113E-2</v>
      </c>
      <c r="T35" s="9">
        <f t="shared" ref="T35:T42" si="24">(G35-F35)/F35</f>
        <v>1.3276434329065827E-2</v>
      </c>
      <c r="U35" s="9">
        <f t="shared" ref="U35:U42" si="25">(H35-G35)/G35</f>
        <v>5.6153486195602113E-3</v>
      </c>
      <c r="V35" s="9">
        <f t="shared" ref="V35:V42" si="26">(I35-H35)/H35</f>
        <v>-6.9799906933457421E-3</v>
      </c>
      <c r="W35" s="9">
        <f t="shared" ref="W35:W42" si="27">(J35-I35)/I35</f>
        <v>-2.3430178069353325E-3</v>
      </c>
      <c r="X35" s="9">
        <f t="shared" ref="X35:X42" si="28">(K35-J35)/J35</f>
        <v>1.0803193987787613E-2</v>
      </c>
      <c r="Y35" s="9">
        <f t="shared" ref="Y35:Y42" si="29">(L35-K35)/K35</f>
        <v>-1.3940520446096656E-2</v>
      </c>
      <c r="Z35" s="9">
        <f t="shared" ref="Z35:Z42" si="30">(M35-L35)/L35</f>
        <v>0</v>
      </c>
      <c r="AA35" s="9">
        <f t="shared" ref="AA35:AA42" si="31">(N35-M35)/M35</f>
        <v>7.068803016022621E-3</v>
      </c>
      <c r="AB35" s="9">
        <f t="shared" ref="AB35:AB42" si="32">(O35-N35)/N35</f>
        <v>2.6672905942910705E-2</v>
      </c>
      <c r="AC35" s="9">
        <f t="shared" si="20"/>
        <v>-8.1374321880650236E-3</v>
      </c>
    </row>
    <row r="36" spans="1:29" x14ac:dyDescent="0.35">
      <c r="A36" s="59"/>
      <c r="B36" s="10" t="s">
        <v>5</v>
      </c>
      <c r="C36" s="19">
        <v>164.1</v>
      </c>
      <c r="D36" s="19">
        <v>172.8</v>
      </c>
      <c r="E36" s="19">
        <v>176.6</v>
      </c>
      <c r="F36" s="19">
        <v>170.6</v>
      </c>
      <c r="G36" s="19">
        <v>170.9</v>
      </c>
      <c r="H36" s="19">
        <v>171.9</v>
      </c>
      <c r="I36" s="19">
        <v>183.2</v>
      </c>
      <c r="J36" s="19">
        <v>191.9</v>
      </c>
      <c r="K36" s="19">
        <v>197</v>
      </c>
      <c r="L36" s="19">
        <v>177.2</v>
      </c>
      <c r="M36" s="19">
        <v>177.2</v>
      </c>
      <c r="N36" s="19">
        <v>172.4</v>
      </c>
      <c r="O36" s="19">
        <v>176.7</v>
      </c>
      <c r="Q36" s="9">
        <f t="shared" si="21"/>
        <v>5.3016453382084203E-2</v>
      </c>
      <c r="R36" s="9">
        <f t="shared" si="22"/>
        <v>2.1990740740740641E-2</v>
      </c>
      <c r="S36" s="9">
        <f t="shared" si="23"/>
        <v>-3.3975084937712348E-2</v>
      </c>
      <c r="T36" s="9">
        <f t="shared" si="24"/>
        <v>1.7584994138335954E-3</v>
      </c>
      <c r="U36" s="9">
        <f t="shared" si="25"/>
        <v>5.8513750731421883E-3</v>
      </c>
      <c r="V36" s="9">
        <f t="shared" si="26"/>
        <v>6.5735892961023751E-2</v>
      </c>
      <c r="W36" s="9">
        <f t="shared" si="27"/>
        <v>4.7489082969432411E-2</v>
      </c>
      <c r="X36" s="9">
        <f t="shared" si="28"/>
        <v>2.6576341844710756E-2</v>
      </c>
      <c r="Y36" s="9">
        <f t="shared" si="29"/>
        <v>-0.10050761421319802</v>
      </c>
      <c r="Z36" s="9">
        <f t="shared" si="30"/>
        <v>0</v>
      </c>
      <c r="AA36" s="9">
        <f t="shared" si="31"/>
        <v>-2.7088036117381396E-2</v>
      </c>
      <c r="AB36" s="9">
        <f t="shared" si="32"/>
        <v>2.4941995359628672E-2</v>
      </c>
      <c r="AC36" s="9">
        <f t="shared" si="20"/>
        <v>7.6782449725776927E-2</v>
      </c>
    </row>
    <row r="37" spans="1:29" x14ac:dyDescent="0.35">
      <c r="A37" s="59"/>
      <c r="B37" s="10" t="s">
        <v>6</v>
      </c>
      <c r="C37" s="19">
        <v>165.4</v>
      </c>
      <c r="D37" s="19">
        <v>166.4</v>
      </c>
      <c r="E37" s="19">
        <v>167.1</v>
      </c>
      <c r="F37" s="19">
        <v>168.4</v>
      </c>
      <c r="G37" s="19">
        <v>170.1</v>
      </c>
      <c r="H37" s="19">
        <v>171</v>
      </c>
      <c r="I37" s="19">
        <v>172.3</v>
      </c>
      <c r="J37" s="19">
        <v>173.9</v>
      </c>
      <c r="K37" s="19">
        <v>175.2</v>
      </c>
      <c r="L37" s="19">
        <v>177.9</v>
      </c>
      <c r="M37" s="19">
        <v>177.9</v>
      </c>
      <c r="N37" s="19">
        <v>178.8</v>
      </c>
      <c r="O37" s="19">
        <v>179.4</v>
      </c>
      <c r="Q37" s="9">
        <f t="shared" si="21"/>
        <v>6.0459492140266021E-3</v>
      </c>
      <c r="R37" s="9">
        <f t="shared" si="22"/>
        <v>4.2067307692307005E-3</v>
      </c>
      <c r="S37" s="9">
        <f t="shared" si="23"/>
        <v>7.7797725912627852E-3</v>
      </c>
      <c r="T37" s="9">
        <f t="shared" si="24"/>
        <v>1.0095011876484494E-2</v>
      </c>
      <c r="U37" s="9">
        <f t="shared" si="25"/>
        <v>5.2910052910053245E-3</v>
      </c>
      <c r="V37" s="9">
        <f t="shared" si="26"/>
        <v>7.6023391812866164E-3</v>
      </c>
      <c r="W37" s="9">
        <f t="shared" si="27"/>
        <v>9.286128845037692E-3</v>
      </c>
      <c r="X37" s="9">
        <f t="shared" si="28"/>
        <v>7.4755606670499301E-3</v>
      </c>
      <c r="Y37" s="9">
        <f t="shared" si="29"/>
        <v>1.5410958904109687E-2</v>
      </c>
      <c r="Z37" s="9">
        <f t="shared" si="30"/>
        <v>0</v>
      </c>
      <c r="AA37" s="9">
        <f t="shared" si="31"/>
        <v>5.0590219224283623E-3</v>
      </c>
      <c r="AB37" s="9">
        <f t="shared" si="32"/>
        <v>3.355704697986545E-3</v>
      </c>
      <c r="AC37" s="9">
        <f t="shared" si="20"/>
        <v>8.4643288996372426E-2</v>
      </c>
    </row>
    <row r="38" spans="1:29" x14ac:dyDescent="0.35">
      <c r="A38" s="59"/>
      <c r="B38" s="10" t="s">
        <v>7</v>
      </c>
      <c r="C38" s="19">
        <v>189.5</v>
      </c>
      <c r="D38" s="19">
        <v>188.6</v>
      </c>
      <c r="E38" s="19">
        <v>184.8</v>
      </c>
      <c r="F38" s="19">
        <v>182.5</v>
      </c>
      <c r="G38" s="19">
        <v>179.3</v>
      </c>
      <c r="H38" s="19">
        <v>177.7</v>
      </c>
      <c r="I38" s="19">
        <v>180</v>
      </c>
      <c r="J38" s="19">
        <v>179.1</v>
      </c>
      <c r="K38" s="19">
        <v>178</v>
      </c>
      <c r="L38" s="19">
        <v>172.2</v>
      </c>
      <c r="M38" s="19">
        <v>172.2</v>
      </c>
      <c r="N38" s="19">
        <v>168.7</v>
      </c>
      <c r="O38" s="19">
        <v>164.4</v>
      </c>
      <c r="Q38" s="9">
        <f t="shared" si="21"/>
        <v>-4.74934036939317E-3</v>
      </c>
      <c r="R38" s="9">
        <f t="shared" si="22"/>
        <v>-2.014846235418867E-2</v>
      </c>
      <c r="S38" s="9">
        <f t="shared" si="23"/>
        <v>-1.2445887445887507E-2</v>
      </c>
      <c r="T38" s="9">
        <f t="shared" si="24"/>
        <v>-1.7534246575342402E-2</v>
      </c>
      <c r="U38" s="9">
        <f t="shared" si="25"/>
        <v>-8.9235917456777607E-3</v>
      </c>
      <c r="V38" s="9">
        <f t="shared" si="26"/>
        <v>1.2943162633652288E-2</v>
      </c>
      <c r="W38" s="9">
        <f t="shared" si="27"/>
        <v>-5.0000000000000313E-3</v>
      </c>
      <c r="X38" s="9">
        <f t="shared" si="28"/>
        <v>-6.1418202121719398E-3</v>
      </c>
      <c r="Y38" s="9">
        <f t="shared" si="29"/>
        <v>-3.2584269662921411E-2</v>
      </c>
      <c r="Z38" s="9">
        <f t="shared" si="30"/>
        <v>0</v>
      </c>
      <c r="AA38" s="9">
        <f t="shared" si="31"/>
        <v>-2.0325203252032523E-2</v>
      </c>
      <c r="AB38" s="9">
        <f t="shared" si="32"/>
        <v>-2.5489033787788874E-2</v>
      </c>
      <c r="AC38" s="9">
        <f t="shared" si="20"/>
        <v>-0.13245382585751975</v>
      </c>
    </row>
    <row r="39" spans="1:29" x14ac:dyDescent="0.35">
      <c r="A39" s="59"/>
      <c r="B39" s="10" t="s">
        <v>8</v>
      </c>
      <c r="C39" s="19">
        <v>174.5</v>
      </c>
      <c r="D39" s="19">
        <v>174.1</v>
      </c>
      <c r="E39" s="19">
        <v>179.5</v>
      </c>
      <c r="F39" s="19">
        <v>177.1</v>
      </c>
      <c r="G39" s="19">
        <v>167.5</v>
      </c>
      <c r="H39" s="19">
        <v>165.7</v>
      </c>
      <c r="I39" s="19">
        <v>162.6</v>
      </c>
      <c r="J39" s="19">
        <v>159.5</v>
      </c>
      <c r="K39" s="19">
        <v>160.5</v>
      </c>
      <c r="L39" s="19">
        <v>172.1</v>
      </c>
      <c r="M39" s="19">
        <v>172.1</v>
      </c>
      <c r="N39" s="19">
        <v>179.2</v>
      </c>
      <c r="O39" s="19">
        <v>175.8</v>
      </c>
      <c r="Q39" s="9">
        <f t="shared" si="21"/>
        <v>-2.2922636103152186E-3</v>
      </c>
      <c r="R39" s="9">
        <f t="shared" si="22"/>
        <v>3.1016657093624389E-2</v>
      </c>
      <c r="S39" s="9">
        <f t="shared" si="23"/>
        <v>-1.3370473537604488E-2</v>
      </c>
      <c r="T39" s="9">
        <f t="shared" si="24"/>
        <v>-5.4206662902315045E-2</v>
      </c>
      <c r="U39" s="9">
        <f t="shared" si="25"/>
        <v>-1.0746268656716487E-2</v>
      </c>
      <c r="V39" s="9">
        <f t="shared" si="26"/>
        <v>-1.8708509354254645E-2</v>
      </c>
      <c r="W39" s="9">
        <f t="shared" si="27"/>
        <v>-1.9065190651906486E-2</v>
      </c>
      <c r="X39" s="9">
        <f t="shared" si="28"/>
        <v>6.269592476489028E-3</v>
      </c>
      <c r="Y39" s="9">
        <f t="shared" si="29"/>
        <v>7.2274143302180655E-2</v>
      </c>
      <c r="Z39" s="9">
        <f t="shared" si="30"/>
        <v>0</v>
      </c>
      <c r="AA39" s="9">
        <f t="shared" si="31"/>
        <v>4.1255084253341047E-2</v>
      </c>
      <c r="AB39" s="9">
        <f t="shared" si="32"/>
        <v>-1.8973214285714159E-2</v>
      </c>
      <c r="AC39" s="9">
        <f t="shared" si="20"/>
        <v>7.4498567335244204E-3</v>
      </c>
    </row>
    <row r="40" spans="1:29" x14ac:dyDescent="0.35">
      <c r="A40" s="59"/>
      <c r="B40" s="10" t="s">
        <v>9</v>
      </c>
      <c r="C40" s="19">
        <v>203.2</v>
      </c>
      <c r="D40" s="19">
        <v>211.5</v>
      </c>
      <c r="E40" s="19">
        <v>208.5</v>
      </c>
      <c r="F40" s="19">
        <v>213.1</v>
      </c>
      <c r="G40" s="19">
        <v>220.8</v>
      </c>
      <c r="H40" s="19">
        <v>228.6</v>
      </c>
      <c r="I40" s="19">
        <v>205.5</v>
      </c>
      <c r="J40" s="19">
        <v>178.7</v>
      </c>
      <c r="K40" s="19">
        <v>175.3</v>
      </c>
      <c r="L40" s="19">
        <v>175.8</v>
      </c>
      <c r="M40" s="19">
        <v>175.9</v>
      </c>
      <c r="N40" s="19">
        <v>179.9</v>
      </c>
      <c r="O40" s="19">
        <v>185</v>
      </c>
      <c r="Q40" s="9">
        <f t="shared" si="21"/>
        <v>4.0846456692913445E-2</v>
      </c>
      <c r="R40" s="9">
        <f t="shared" si="22"/>
        <v>-1.4184397163120567E-2</v>
      </c>
      <c r="S40" s="9">
        <f t="shared" si="23"/>
        <v>2.206235011990405E-2</v>
      </c>
      <c r="T40" s="9">
        <f t="shared" si="24"/>
        <v>3.6133270764899188E-2</v>
      </c>
      <c r="U40" s="9">
        <f t="shared" si="25"/>
        <v>3.532608695652166E-2</v>
      </c>
      <c r="V40" s="9">
        <f t="shared" si="26"/>
        <v>-0.10104986876640418</v>
      </c>
      <c r="W40" s="9">
        <f t="shared" si="27"/>
        <v>-0.1304136253041363</v>
      </c>
      <c r="X40" s="9">
        <f t="shared" si="28"/>
        <v>-1.9026301063234344E-2</v>
      </c>
      <c r="Y40" s="9">
        <f t="shared" si="29"/>
        <v>2.8522532800912721E-3</v>
      </c>
      <c r="Z40" s="9">
        <f t="shared" si="30"/>
        <v>5.6882821387937608E-4</v>
      </c>
      <c r="AA40" s="9">
        <f t="shared" si="31"/>
        <v>2.2740193291642979E-2</v>
      </c>
      <c r="AB40" s="9">
        <f t="shared" si="32"/>
        <v>2.8349082823790964E-2</v>
      </c>
      <c r="AC40" s="9">
        <f t="shared" si="20"/>
        <v>-8.956692913385822E-2</v>
      </c>
    </row>
    <row r="41" spans="1:29" x14ac:dyDescent="0.35">
      <c r="A41" s="59"/>
      <c r="B41" s="10" t="s">
        <v>10</v>
      </c>
      <c r="C41" s="19">
        <v>164.1</v>
      </c>
      <c r="D41" s="19">
        <v>163.6</v>
      </c>
      <c r="E41" s="19">
        <v>164</v>
      </c>
      <c r="F41" s="19">
        <v>167.3</v>
      </c>
      <c r="G41" s="19">
        <v>169.2</v>
      </c>
      <c r="H41" s="19">
        <v>169.9</v>
      </c>
      <c r="I41" s="19">
        <v>171</v>
      </c>
      <c r="J41" s="19">
        <v>171.3</v>
      </c>
      <c r="K41" s="19">
        <v>171.2</v>
      </c>
      <c r="L41" s="19">
        <v>172.2</v>
      </c>
      <c r="M41" s="19">
        <v>172.2</v>
      </c>
      <c r="N41" s="19">
        <v>174.7</v>
      </c>
      <c r="O41" s="19">
        <v>176.9</v>
      </c>
      <c r="Q41" s="9">
        <f t="shared" si="21"/>
        <v>-3.0469226081657527E-3</v>
      </c>
      <c r="R41" s="9">
        <f t="shared" si="22"/>
        <v>2.4449877750611594E-3</v>
      </c>
      <c r="S41" s="9">
        <f t="shared" si="23"/>
        <v>2.0121951219512265E-2</v>
      </c>
      <c r="T41" s="9">
        <f t="shared" si="24"/>
        <v>1.1356843992827119E-2</v>
      </c>
      <c r="U41" s="9">
        <f t="shared" si="25"/>
        <v>4.1371158392436002E-3</v>
      </c>
      <c r="V41" s="9">
        <f t="shared" si="26"/>
        <v>6.4743967039434629E-3</v>
      </c>
      <c r="W41" s="9">
        <f t="shared" si="27"/>
        <v>1.7543859649123471E-3</v>
      </c>
      <c r="X41" s="9">
        <f t="shared" si="28"/>
        <v>-5.837711617047445E-4</v>
      </c>
      <c r="Y41" s="9">
        <f t="shared" si="29"/>
        <v>5.8411214953271035E-3</v>
      </c>
      <c r="Z41" s="9">
        <f t="shared" si="30"/>
        <v>0</v>
      </c>
      <c r="AA41" s="9">
        <f t="shared" si="31"/>
        <v>1.4518002322880372E-2</v>
      </c>
      <c r="AB41" s="9">
        <f t="shared" si="32"/>
        <v>1.2593016599885617E-2</v>
      </c>
      <c r="AC41" s="9">
        <f t="shared" si="20"/>
        <v>7.800121876904334E-2</v>
      </c>
    </row>
    <row r="42" spans="1:29" x14ac:dyDescent="0.35">
      <c r="A42" s="59"/>
      <c r="B42" s="10" t="s">
        <v>12</v>
      </c>
      <c r="C42" s="19">
        <v>181.4</v>
      </c>
      <c r="D42" s="19">
        <v>183.5</v>
      </c>
      <c r="E42" s="19">
        <v>186.3</v>
      </c>
      <c r="F42" s="19">
        <v>189.7</v>
      </c>
      <c r="G42" s="19">
        <v>193.6</v>
      </c>
      <c r="H42" s="19">
        <v>196.4</v>
      </c>
      <c r="I42" s="19">
        <v>198.8</v>
      </c>
      <c r="J42" s="19">
        <v>200.5</v>
      </c>
      <c r="K42" s="19">
        <v>204.3</v>
      </c>
      <c r="L42" s="19">
        <v>204.8</v>
      </c>
      <c r="M42" s="19">
        <v>204.8</v>
      </c>
      <c r="N42" s="19">
        <v>207.8</v>
      </c>
      <c r="O42" s="19">
        <v>211.9</v>
      </c>
      <c r="Q42" s="9">
        <f t="shared" si="21"/>
        <v>1.1576626240352779E-2</v>
      </c>
      <c r="R42" s="9">
        <f t="shared" si="22"/>
        <v>1.5258855585831125E-2</v>
      </c>
      <c r="S42" s="9">
        <f t="shared" si="23"/>
        <v>1.8250134192163054E-2</v>
      </c>
      <c r="T42" s="9">
        <f t="shared" si="24"/>
        <v>2.0558777016341623E-2</v>
      </c>
      <c r="U42" s="9">
        <f t="shared" si="25"/>
        <v>1.4462809917355431E-2</v>
      </c>
      <c r="V42" s="9">
        <f t="shared" si="26"/>
        <v>1.2219959266802473E-2</v>
      </c>
      <c r="W42" s="9">
        <f t="shared" si="27"/>
        <v>8.5513078470824365E-3</v>
      </c>
      <c r="X42" s="9">
        <f t="shared" si="28"/>
        <v>1.8952618453865394E-2</v>
      </c>
      <c r="Y42" s="9">
        <f t="shared" si="29"/>
        <v>2.4473813020068525E-3</v>
      </c>
      <c r="Z42" s="9">
        <f t="shared" si="30"/>
        <v>0</v>
      </c>
      <c r="AA42" s="9">
        <f t="shared" si="31"/>
        <v>1.46484375E-2</v>
      </c>
      <c r="AB42" s="9">
        <f t="shared" si="32"/>
        <v>1.9730510105871003E-2</v>
      </c>
      <c r="AC42" s="9">
        <f t="shared" si="20"/>
        <v>0.1681367144432194</v>
      </c>
    </row>
    <row r="43" spans="1:29" x14ac:dyDescent="0.35">
      <c r="A43" s="60" t="s">
        <v>75</v>
      </c>
      <c r="B43" s="10" t="s">
        <v>11</v>
      </c>
      <c r="C43" s="19">
        <v>121.2</v>
      </c>
      <c r="D43" s="19">
        <v>121.4</v>
      </c>
      <c r="E43" s="19">
        <v>121.5</v>
      </c>
      <c r="F43" s="19">
        <v>122.2</v>
      </c>
      <c r="G43" s="19">
        <v>123.1</v>
      </c>
      <c r="H43" s="19">
        <v>123.4</v>
      </c>
      <c r="I43" s="19">
        <v>123.4</v>
      </c>
      <c r="J43" s="19">
        <v>123.1</v>
      </c>
      <c r="K43" s="19">
        <v>122.7</v>
      </c>
      <c r="L43" s="19">
        <v>121.9</v>
      </c>
      <c r="M43" s="19">
        <v>121.9</v>
      </c>
      <c r="N43" s="19">
        <v>123.1</v>
      </c>
      <c r="O43" s="19">
        <v>124.2</v>
      </c>
      <c r="Q43" s="9">
        <f t="shared" ref="Q43:AB47" si="33">(D43-C43)/C43</f>
        <v>1.6501650165016736E-3</v>
      </c>
      <c r="R43" s="9">
        <f t="shared" si="33"/>
        <v>8.2372322899501083E-4</v>
      </c>
      <c r="S43" s="9">
        <f t="shared" si="33"/>
        <v>5.7613168724280073E-3</v>
      </c>
      <c r="T43" s="9">
        <f t="shared" si="33"/>
        <v>7.3649754500817628E-3</v>
      </c>
      <c r="U43" s="9">
        <f t="shared" si="33"/>
        <v>2.4370430544273874E-3</v>
      </c>
      <c r="V43" s="9">
        <f t="shared" si="33"/>
        <v>0</v>
      </c>
      <c r="W43" s="9">
        <f t="shared" si="33"/>
        <v>-2.4311183144247275E-3</v>
      </c>
      <c r="X43" s="9">
        <f t="shared" si="33"/>
        <v>-3.2493907392363241E-3</v>
      </c>
      <c r="Y43" s="9">
        <f t="shared" si="33"/>
        <v>-6.5199674001629754E-3</v>
      </c>
      <c r="Z43" s="9">
        <f t="shared" si="33"/>
        <v>0</v>
      </c>
      <c r="AA43" s="9">
        <f t="shared" si="33"/>
        <v>9.8441345365052387E-3</v>
      </c>
      <c r="AB43" s="9">
        <f t="shared" si="33"/>
        <v>8.9358245329001513E-3</v>
      </c>
      <c r="AC43" s="9">
        <f t="shared" si="20"/>
        <v>2.475247524752475E-2</v>
      </c>
    </row>
    <row r="44" spans="1:29" x14ac:dyDescent="0.35">
      <c r="A44" s="60"/>
      <c r="B44" s="10" t="s">
        <v>13</v>
      </c>
      <c r="C44" s="19">
        <v>158.5</v>
      </c>
      <c r="D44" s="19">
        <v>159.1</v>
      </c>
      <c r="E44" s="19">
        <v>159.80000000000001</v>
      </c>
      <c r="F44" s="19">
        <v>160.5</v>
      </c>
      <c r="G44" s="19">
        <v>161.1</v>
      </c>
      <c r="H44" s="19">
        <v>161.6</v>
      </c>
      <c r="I44" s="19">
        <v>162.1</v>
      </c>
      <c r="J44" s="19">
        <v>162.80000000000001</v>
      </c>
      <c r="K44" s="19">
        <v>163.69999999999999</v>
      </c>
      <c r="L44" s="19">
        <v>164.9</v>
      </c>
      <c r="M44" s="19">
        <v>164.9</v>
      </c>
      <c r="N44" s="19">
        <v>165.5</v>
      </c>
      <c r="O44" s="19">
        <v>165.9</v>
      </c>
      <c r="Q44" s="9">
        <f t="shared" si="33"/>
        <v>3.7854889589905003E-3</v>
      </c>
      <c r="R44" s="9">
        <f t="shared" si="33"/>
        <v>4.3997485857952051E-3</v>
      </c>
      <c r="S44" s="9">
        <f t="shared" si="33"/>
        <v>4.3804755944930451E-3</v>
      </c>
      <c r="T44" s="9">
        <f t="shared" si="33"/>
        <v>3.7383177570093104E-3</v>
      </c>
      <c r="U44" s="9">
        <f t="shared" si="33"/>
        <v>3.1036623215394167E-3</v>
      </c>
      <c r="V44" s="9">
        <f t="shared" si="33"/>
        <v>3.0940594059405942E-3</v>
      </c>
      <c r="W44" s="9">
        <f t="shared" si="33"/>
        <v>4.3183220234424245E-3</v>
      </c>
      <c r="X44" s="9">
        <f t="shared" si="33"/>
        <v>5.5282555282553884E-3</v>
      </c>
      <c r="Y44" s="9">
        <f t="shared" si="33"/>
        <v>7.3304825901039528E-3</v>
      </c>
      <c r="Z44" s="9">
        <f t="shared" si="33"/>
        <v>0</v>
      </c>
      <c r="AA44" s="9">
        <f t="shared" si="33"/>
        <v>3.6385688295936585E-3</v>
      </c>
      <c r="AB44" s="9">
        <f t="shared" si="33"/>
        <v>2.4169184290030554E-3</v>
      </c>
      <c r="AC44" s="9">
        <f t="shared" si="20"/>
        <v>4.6687697160883314E-2</v>
      </c>
    </row>
    <row r="45" spans="1:29" x14ac:dyDescent="0.35">
      <c r="A45" s="60"/>
      <c r="B45" s="10" t="s">
        <v>74</v>
      </c>
      <c r="C45" s="19">
        <v>184.9</v>
      </c>
      <c r="D45" s="19">
        <v>186.3</v>
      </c>
      <c r="E45" s="19">
        <v>187.7</v>
      </c>
      <c r="F45" s="19">
        <v>188.9</v>
      </c>
      <c r="G45" s="19">
        <v>190.4</v>
      </c>
      <c r="H45" s="19">
        <v>191.5</v>
      </c>
      <c r="I45" s="19">
        <v>192.4</v>
      </c>
      <c r="J45" s="19">
        <v>193.3</v>
      </c>
      <c r="K45" s="19">
        <v>194.3</v>
      </c>
      <c r="L45" s="19">
        <v>196.6</v>
      </c>
      <c r="M45" s="19">
        <v>196.6</v>
      </c>
      <c r="N45" s="19">
        <v>197</v>
      </c>
      <c r="O45" s="19">
        <v>197.7</v>
      </c>
      <c r="Q45" s="9">
        <f t="shared" si="33"/>
        <v>7.5716603569497328E-3</v>
      </c>
      <c r="R45" s="9">
        <f t="shared" si="33"/>
        <v>7.514761137949421E-3</v>
      </c>
      <c r="S45" s="9">
        <f t="shared" si="33"/>
        <v>6.3931806073522493E-3</v>
      </c>
      <c r="T45" s="9">
        <f t="shared" si="33"/>
        <v>7.9407093700370572E-3</v>
      </c>
      <c r="U45" s="9">
        <f t="shared" si="33"/>
        <v>5.7773109243697178E-3</v>
      </c>
      <c r="V45" s="9">
        <f t="shared" si="33"/>
        <v>4.6997389033942858E-3</v>
      </c>
      <c r="W45" s="9">
        <f t="shared" si="33"/>
        <v>4.6777546777547075E-3</v>
      </c>
      <c r="X45" s="9">
        <f t="shared" si="33"/>
        <v>5.1733057423693739E-3</v>
      </c>
      <c r="Y45" s="9">
        <f t="shared" si="33"/>
        <v>1.1837364899639644E-2</v>
      </c>
      <c r="Z45" s="9">
        <f t="shared" si="33"/>
        <v>0</v>
      </c>
      <c r="AA45" s="9">
        <f t="shared" si="33"/>
        <v>2.034587995930853E-3</v>
      </c>
      <c r="AB45" s="9">
        <f t="shared" si="33"/>
        <v>3.5532994923857292E-3</v>
      </c>
      <c r="AC45" s="9">
        <f t="shared" si="20"/>
        <v>6.922660897782576E-2</v>
      </c>
    </row>
    <row r="46" spans="1:29" x14ac:dyDescent="0.35">
      <c r="A46" s="60"/>
      <c r="B46" s="10" t="s">
        <v>15</v>
      </c>
      <c r="C46" s="19">
        <v>177.5</v>
      </c>
      <c r="D46" s="19">
        <v>179.3</v>
      </c>
      <c r="E46" s="19">
        <v>179.4</v>
      </c>
      <c r="F46" s="19">
        <v>180.4</v>
      </c>
      <c r="G46" s="19">
        <v>181.8</v>
      </c>
      <c r="H46" s="19">
        <v>183.3</v>
      </c>
      <c r="I46" s="19">
        <v>181.3</v>
      </c>
      <c r="J46" s="19">
        <v>178.6</v>
      </c>
      <c r="K46" s="19">
        <v>179.5</v>
      </c>
      <c r="L46" s="19">
        <v>180.7</v>
      </c>
      <c r="M46" s="19">
        <v>180.8</v>
      </c>
      <c r="N46" s="19">
        <v>182.1</v>
      </c>
      <c r="O46" s="19">
        <v>183.1</v>
      </c>
      <c r="Q46" s="9">
        <f t="shared" si="33"/>
        <v>1.0140845070422599E-2</v>
      </c>
      <c r="R46" s="9">
        <f t="shared" si="33"/>
        <v>5.5772448410482047E-4</v>
      </c>
      <c r="S46" s="9">
        <f t="shared" si="33"/>
        <v>5.5741360089186171E-3</v>
      </c>
      <c r="T46" s="9">
        <f t="shared" si="33"/>
        <v>7.7605321507760849E-3</v>
      </c>
      <c r="U46" s="9">
        <f t="shared" si="33"/>
        <v>8.2508250825082501E-3</v>
      </c>
      <c r="V46" s="9">
        <f t="shared" si="33"/>
        <v>-1.0911074740861974E-2</v>
      </c>
      <c r="W46" s="9">
        <f t="shared" si="33"/>
        <v>-1.4892443463872128E-2</v>
      </c>
      <c r="X46" s="9">
        <f t="shared" si="33"/>
        <v>5.0391937290033915E-3</v>
      </c>
      <c r="Y46" s="9">
        <f t="shared" si="33"/>
        <v>6.6852367688021649E-3</v>
      </c>
      <c r="Z46" s="9">
        <f t="shared" si="33"/>
        <v>5.5340343110139867E-4</v>
      </c>
      <c r="AA46" s="9">
        <f t="shared" si="33"/>
        <v>7.1902654867255691E-3</v>
      </c>
      <c r="AB46" s="9">
        <f t="shared" si="33"/>
        <v>5.4914881933003845E-3</v>
      </c>
      <c r="AC46" s="9">
        <f t="shared" si="20"/>
        <v>3.1549295774647858E-2</v>
      </c>
    </row>
    <row r="47" spans="1:29" x14ac:dyDescent="0.35">
      <c r="A47" s="60"/>
      <c r="B47" s="10" t="s">
        <v>73</v>
      </c>
      <c r="C47" s="19">
        <v>197.5</v>
      </c>
      <c r="D47" s="19">
        <v>198.3</v>
      </c>
      <c r="E47" s="19">
        <v>198.6</v>
      </c>
      <c r="F47" s="19">
        <v>198.7</v>
      </c>
      <c r="G47" s="19">
        <v>199.7</v>
      </c>
      <c r="H47" s="19">
        <v>200.1</v>
      </c>
      <c r="I47" s="19">
        <v>200.6</v>
      </c>
      <c r="J47" s="19">
        <v>201.1</v>
      </c>
      <c r="K47" s="19">
        <v>201.6</v>
      </c>
      <c r="L47" s="19">
        <v>202.7</v>
      </c>
      <c r="M47" s="19">
        <v>202.7</v>
      </c>
      <c r="N47" s="19">
        <v>203.5</v>
      </c>
      <c r="O47" s="19">
        <v>204.2</v>
      </c>
      <c r="Q47" s="9">
        <f t="shared" si="33"/>
        <v>4.0506329113924626E-3</v>
      </c>
      <c r="R47" s="9">
        <f t="shared" si="33"/>
        <v>1.5128593040846341E-3</v>
      </c>
      <c r="S47" s="9">
        <f t="shared" si="33"/>
        <v>5.0352467270893412E-4</v>
      </c>
      <c r="T47" s="9">
        <f t="shared" si="33"/>
        <v>5.0327126321087065E-3</v>
      </c>
      <c r="U47" s="9">
        <f t="shared" si="33"/>
        <v>2.0030045067601686E-3</v>
      </c>
      <c r="V47" s="9">
        <f t="shared" si="33"/>
        <v>2.4987506246876563E-3</v>
      </c>
      <c r="W47" s="9">
        <f t="shared" si="33"/>
        <v>2.4925224327018943E-3</v>
      </c>
      <c r="X47" s="9">
        <f t="shared" si="33"/>
        <v>2.4863252113376429E-3</v>
      </c>
      <c r="Y47" s="9">
        <f t="shared" si="33"/>
        <v>5.4563492063491783E-3</v>
      </c>
      <c r="Z47" s="9">
        <f t="shared" si="33"/>
        <v>0</v>
      </c>
      <c r="AA47" s="9">
        <f t="shared" si="33"/>
        <v>3.9467192895905846E-3</v>
      </c>
      <c r="AB47" s="9">
        <f t="shared" si="33"/>
        <v>3.4398034398033838E-3</v>
      </c>
      <c r="AC47" s="9">
        <f t="shared" si="20"/>
        <v>3.3924050632911332E-2</v>
      </c>
    </row>
    <row r="48" spans="1:29" x14ac:dyDescent="0.35">
      <c r="B48" s="18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69" x14ac:dyDescent="0.35">
      <c r="B49" s="18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69" x14ac:dyDescent="0.35">
      <c r="A50" s="55"/>
      <c r="B50" s="15" t="s">
        <v>1</v>
      </c>
      <c r="C50" s="20">
        <v>44682</v>
      </c>
      <c r="D50" s="20">
        <v>44713</v>
      </c>
      <c r="E50" s="20">
        <v>44743</v>
      </c>
      <c r="F50" s="20">
        <v>44774</v>
      </c>
      <c r="G50" s="20">
        <v>44805</v>
      </c>
      <c r="H50" s="20">
        <v>44835</v>
      </c>
      <c r="I50" s="20">
        <v>44866</v>
      </c>
      <c r="J50" s="20">
        <v>44896</v>
      </c>
      <c r="K50" s="20">
        <v>44927</v>
      </c>
      <c r="L50" s="20">
        <v>44958</v>
      </c>
      <c r="M50" s="20">
        <v>44986</v>
      </c>
      <c r="N50" s="20">
        <v>45017</v>
      </c>
      <c r="O50" s="20">
        <v>45047</v>
      </c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69" x14ac:dyDescent="0.35">
      <c r="A51" s="55"/>
      <c r="B51" s="56" t="s">
        <v>76</v>
      </c>
      <c r="C51" s="17">
        <f>SUM(C34:C42)</f>
        <v>1620.1000000000001</v>
      </c>
      <c r="D51" s="17">
        <f>SUM(D34:D42)</f>
        <v>1641.3999999999999</v>
      </c>
      <c r="E51" s="17">
        <f>SUM(E34:E42)</f>
        <v>1643.2</v>
      </c>
      <c r="F51" s="17">
        <f>SUM(F34:F42)</f>
        <v>1641.6999999999998</v>
      </c>
      <c r="G51" s="17">
        <f>SUM(G34:G42)</f>
        <v>1650</v>
      </c>
      <c r="H51" s="17">
        <f t="shared" ref="H51:O51" si="34">SUM(H34:H42)</f>
        <v>1662.5000000000002</v>
      </c>
      <c r="I51" s="17">
        <f t="shared" si="34"/>
        <v>1655.1999999999998</v>
      </c>
      <c r="J51" s="17">
        <f t="shared" si="34"/>
        <v>1638</v>
      </c>
      <c r="K51" s="17">
        <f t="shared" si="34"/>
        <v>1650</v>
      </c>
      <c r="L51" s="17">
        <f t="shared" si="34"/>
        <v>1639.0999999999997</v>
      </c>
      <c r="M51" s="17">
        <f t="shared" si="34"/>
        <v>1639.1999999999998</v>
      </c>
      <c r="N51" s="17">
        <f t="shared" si="34"/>
        <v>1650.0000000000002</v>
      </c>
      <c r="O51" s="17">
        <f t="shared" si="34"/>
        <v>1664.2</v>
      </c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69" x14ac:dyDescent="0.35">
      <c r="A52" s="55"/>
      <c r="B52" s="56"/>
      <c r="C52" s="5" t="s">
        <v>80</v>
      </c>
      <c r="D52" s="9">
        <f t="shared" ref="D52:O52" si="35">(D51-C51)/C51</f>
        <v>1.3147336584161302E-2</v>
      </c>
      <c r="E52" s="9">
        <f t="shared" si="35"/>
        <v>1.0966248324602061E-3</v>
      </c>
      <c r="F52" s="9">
        <f t="shared" si="35"/>
        <v>-9.1285296981513349E-4</v>
      </c>
      <c r="G52" s="9">
        <f t="shared" si="35"/>
        <v>5.0557349089359709E-3</v>
      </c>
      <c r="H52" s="9">
        <f t="shared" si="35"/>
        <v>7.5757575757577139E-3</v>
      </c>
      <c r="I52" s="9">
        <f t="shared" si="35"/>
        <v>-4.3909774436092681E-3</v>
      </c>
      <c r="J52" s="9">
        <f t="shared" si="35"/>
        <v>-1.039149347510864E-2</v>
      </c>
      <c r="K52" s="9">
        <f t="shared" si="35"/>
        <v>7.326007326007326E-3</v>
      </c>
      <c r="L52" s="9">
        <f t="shared" si="35"/>
        <v>-6.6060606060607992E-3</v>
      </c>
      <c r="M52" s="9">
        <f t="shared" si="35"/>
        <v>6.1009090354546055E-5</v>
      </c>
      <c r="N52" s="9">
        <f t="shared" si="35"/>
        <v>6.5885797950222119E-3</v>
      </c>
      <c r="O52" s="9">
        <f t="shared" si="35"/>
        <v>8.6060606060604939E-3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69" x14ac:dyDescent="0.35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69" x14ac:dyDescent="0.35">
      <c r="A54" s="55"/>
      <c r="B54" s="57" t="s">
        <v>75</v>
      </c>
      <c r="C54" s="17">
        <f>SUM(C43:C47)</f>
        <v>839.6</v>
      </c>
      <c r="D54" s="17">
        <f t="shared" ref="D54:O54" si="36">SUM(D43:D47)</f>
        <v>844.40000000000009</v>
      </c>
      <c r="E54" s="17">
        <f t="shared" si="36"/>
        <v>847</v>
      </c>
      <c r="F54" s="17">
        <f t="shared" si="36"/>
        <v>850.7</v>
      </c>
      <c r="G54" s="17">
        <f t="shared" si="36"/>
        <v>856.10000000000014</v>
      </c>
      <c r="H54" s="17">
        <f t="shared" si="36"/>
        <v>859.9</v>
      </c>
      <c r="I54" s="17">
        <f t="shared" si="36"/>
        <v>859.80000000000007</v>
      </c>
      <c r="J54" s="17">
        <f t="shared" si="36"/>
        <v>858.9</v>
      </c>
      <c r="K54" s="17">
        <f t="shared" si="36"/>
        <v>861.80000000000007</v>
      </c>
      <c r="L54" s="17">
        <f t="shared" si="36"/>
        <v>866.8</v>
      </c>
      <c r="M54" s="17">
        <f t="shared" si="36"/>
        <v>866.90000000000009</v>
      </c>
      <c r="N54" s="17">
        <f t="shared" si="36"/>
        <v>871.2</v>
      </c>
      <c r="O54" s="17">
        <f t="shared" si="36"/>
        <v>875.09999999999991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BQ54" t="s">
        <v>82</v>
      </c>
    </row>
    <row r="55" spans="1:69" x14ac:dyDescent="0.35">
      <c r="A55" s="55"/>
      <c r="B55" s="57"/>
      <c r="C55" s="5" t="s">
        <v>80</v>
      </c>
      <c r="D55" s="9">
        <f t="shared" ref="D55:O55" si="37">(D54-C54)/C54</f>
        <v>5.7170080990948885E-3</v>
      </c>
      <c r="E55" s="9">
        <f t="shared" si="37"/>
        <v>3.0791094268118294E-3</v>
      </c>
      <c r="F55" s="9">
        <f t="shared" si="37"/>
        <v>4.3683589138135128E-3</v>
      </c>
      <c r="G55" s="9">
        <f t="shared" si="37"/>
        <v>6.3477136475844492E-3</v>
      </c>
      <c r="H55" s="9">
        <f t="shared" si="37"/>
        <v>4.4387337927810303E-3</v>
      </c>
      <c r="I55" s="9">
        <f t="shared" si="37"/>
        <v>-1.1629259216177352E-4</v>
      </c>
      <c r="J55" s="9">
        <f t="shared" si="37"/>
        <v>-1.0467550593162257E-3</v>
      </c>
      <c r="K55" s="9">
        <f t="shared" si="37"/>
        <v>3.3764116893702308E-3</v>
      </c>
      <c r="L55" s="9">
        <f t="shared" si="37"/>
        <v>5.8018101647712766E-3</v>
      </c>
      <c r="M55" s="9">
        <f t="shared" si="37"/>
        <v>1.1536686663605957E-4</v>
      </c>
      <c r="N55" s="9">
        <f t="shared" si="37"/>
        <v>4.9602030222631842E-3</v>
      </c>
      <c r="O55" s="9">
        <f t="shared" si="37"/>
        <v>4.4765840220384106E-3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69" x14ac:dyDescent="0.35">
      <c r="B56" s="18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8" spans="1:69" x14ac:dyDescent="0.35">
      <c r="B58" s="5" t="s">
        <v>0</v>
      </c>
      <c r="C58" s="62" t="s">
        <v>34</v>
      </c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Q58" s="62" t="s">
        <v>34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</row>
    <row r="59" spans="1:69" x14ac:dyDescent="0.35">
      <c r="A59" s="61" t="s">
        <v>76</v>
      </c>
      <c r="B59" s="10" t="s">
        <v>64</v>
      </c>
      <c r="C59" s="20" t="s">
        <v>38</v>
      </c>
      <c r="D59" s="20" t="s">
        <v>39</v>
      </c>
      <c r="E59" s="20" t="s">
        <v>40</v>
      </c>
      <c r="F59" s="20" t="s">
        <v>41</v>
      </c>
      <c r="G59" s="20" t="s">
        <v>42</v>
      </c>
      <c r="H59" s="20" t="s">
        <v>43</v>
      </c>
      <c r="I59" s="20" t="s">
        <v>45</v>
      </c>
      <c r="J59" s="20" t="s">
        <v>46</v>
      </c>
      <c r="K59" s="20" t="s">
        <v>31</v>
      </c>
      <c r="L59" s="20" t="s">
        <v>35</v>
      </c>
      <c r="M59" s="20" t="s">
        <v>36</v>
      </c>
      <c r="N59" s="20" t="s">
        <v>37</v>
      </c>
      <c r="O59" s="20" t="s">
        <v>38</v>
      </c>
      <c r="Q59" s="24">
        <v>44713</v>
      </c>
      <c r="R59" s="24">
        <v>44743</v>
      </c>
      <c r="S59" s="24">
        <v>44774</v>
      </c>
      <c r="T59" s="24">
        <v>44805</v>
      </c>
      <c r="U59" s="24">
        <v>44835</v>
      </c>
      <c r="V59" s="24">
        <v>44866</v>
      </c>
      <c r="W59" s="24">
        <v>44896</v>
      </c>
      <c r="X59" s="24">
        <v>44927</v>
      </c>
      <c r="Y59" s="24">
        <v>44958</v>
      </c>
      <c r="Z59" s="24">
        <v>44986</v>
      </c>
      <c r="AA59" s="24">
        <v>45017</v>
      </c>
      <c r="AB59" s="24">
        <v>45047</v>
      </c>
      <c r="AC59" s="20" t="s">
        <v>81</v>
      </c>
    </row>
    <row r="60" spans="1:69" x14ac:dyDescent="0.35">
      <c r="A60" s="61"/>
      <c r="B60" s="10" t="s">
        <v>3</v>
      </c>
      <c r="C60" s="19">
        <v>154.1</v>
      </c>
      <c r="D60" s="19">
        <v>155</v>
      </c>
      <c r="E60" s="19">
        <v>156.5</v>
      </c>
      <c r="F60" s="19">
        <v>160.30000000000001</v>
      </c>
      <c r="G60" s="19">
        <v>163.5</v>
      </c>
      <c r="H60" s="19">
        <v>165.2</v>
      </c>
      <c r="I60" s="19">
        <v>167.4</v>
      </c>
      <c r="J60" s="19">
        <v>169.2</v>
      </c>
      <c r="K60" s="19">
        <v>173.8</v>
      </c>
      <c r="L60" s="19">
        <v>174.4</v>
      </c>
      <c r="M60" s="19">
        <v>174.4</v>
      </c>
      <c r="N60" s="19">
        <v>173.8</v>
      </c>
      <c r="O60" s="19">
        <v>173.7</v>
      </c>
      <c r="Q60" s="9">
        <f t="shared" ref="Q60:AB60" si="38">(D60-C60)/C60</f>
        <v>5.8403634003893947E-3</v>
      </c>
      <c r="R60" s="9">
        <f t="shared" si="38"/>
        <v>9.6774193548387101E-3</v>
      </c>
      <c r="S60" s="9">
        <f t="shared" si="38"/>
        <v>2.4281150159744483E-2</v>
      </c>
      <c r="T60" s="9">
        <f t="shared" si="38"/>
        <v>1.9962570180910719E-2</v>
      </c>
      <c r="U60" s="9">
        <f t="shared" si="38"/>
        <v>1.0397553516819502E-2</v>
      </c>
      <c r="V60" s="9">
        <f t="shared" si="38"/>
        <v>1.3317191283293082E-2</v>
      </c>
      <c r="W60" s="9">
        <f t="shared" si="38"/>
        <v>1.0752688172042909E-2</v>
      </c>
      <c r="X60" s="9">
        <f t="shared" si="38"/>
        <v>2.7186761229314557E-2</v>
      </c>
      <c r="Y60" s="9">
        <f t="shared" si="38"/>
        <v>3.4522439585730398E-3</v>
      </c>
      <c r="Z60" s="9">
        <f t="shared" si="38"/>
        <v>0</v>
      </c>
      <c r="AA60" s="9">
        <f t="shared" si="38"/>
        <v>-3.4403669724770315E-3</v>
      </c>
      <c r="AB60" s="9">
        <f t="shared" si="38"/>
        <v>-5.7537399309564284E-4</v>
      </c>
      <c r="AC60" s="9">
        <f t="shared" ref="AC60:AC73" si="39">($O60-$C60)/$C60</f>
        <v>0.12719013627514597</v>
      </c>
    </row>
    <row r="61" spans="1:69" x14ac:dyDescent="0.35">
      <c r="A61" s="61"/>
      <c r="B61" s="10" t="s">
        <v>4</v>
      </c>
      <c r="C61" s="19">
        <v>217</v>
      </c>
      <c r="D61" s="19">
        <v>219.4</v>
      </c>
      <c r="E61" s="19">
        <v>213</v>
      </c>
      <c r="F61" s="19">
        <v>206.5</v>
      </c>
      <c r="G61" s="19">
        <v>209.2</v>
      </c>
      <c r="H61" s="19">
        <v>210.9</v>
      </c>
      <c r="I61" s="19">
        <v>209.4</v>
      </c>
      <c r="J61" s="19">
        <v>209</v>
      </c>
      <c r="K61" s="19">
        <v>210.7</v>
      </c>
      <c r="L61" s="19">
        <v>207.7</v>
      </c>
      <c r="M61" s="19">
        <v>207.7</v>
      </c>
      <c r="N61" s="19">
        <v>209.3</v>
      </c>
      <c r="O61" s="19">
        <v>214.3</v>
      </c>
      <c r="Q61" s="9">
        <f t="shared" ref="Q61:Q68" si="40">(D61-C61)/C61</f>
        <v>1.1059907834101408E-2</v>
      </c>
      <c r="R61" s="9">
        <f t="shared" ref="R61:R68" si="41">(E61-D61)/D61</f>
        <v>-2.9170464904284436E-2</v>
      </c>
      <c r="S61" s="9">
        <f t="shared" ref="S61:S68" si="42">(F61-E61)/E61</f>
        <v>-3.0516431924882629E-2</v>
      </c>
      <c r="T61" s="9">
        <f t="shared" ref="T61:T68" si="43">(G61-F61)/F61</f>
        <v>1.3075060532687597E-2</v>
      </c>
      <c r="U61" s="9">
        <f t="shared" ref="U61:U68" si="44">(H61-G61)/G61</f>
        <v>8.1261950286807706E-3</v>
      </c>
      <c r="V61" s="9">
        <f t="shared" ref="V61:V68" si="45">(I61-H61)/H61</f>
        <v>-7.1123755334281651E-3</v>
      </c>
      <c r="W61" s="9">
        <f t="shared" ref="W61:W68" si="46">(J61-I61)/I61</f>
        <v>-1.9102196752626823E-3</v>
      </c>
      <c r="X61" s="9">
        <f t="shared" ref="X61:X68" si="47">(K61-J61)/J61</f>
        <v>8.1339712918659744E-3</v>
      </c>
      <c r="Y61" s="9">
        <f t="shared" ref="Y61:Y68" si="48">(L61-K61)/K61</f>
        <v>-1.423825344091125E-2</v>
      </c>
      <c r="Z61" s="9">
        <f t="shared" ref="Z61:Z68" si="49">(M61-L61)/L61</f>
        <v>0</v>
      </c>
      <c r="AA61" s="9">
        <f t="shared" ref="AA61:AA68" si="50">(N61-M61)/M61</f>
        <v>7.7034183919115207E-3</v>
      </c>
      <c r="AB61" s="9">
        <f t="shared" ref="AB61:AB68" si="51">(O61-N61)/N61</f>
        <v>2.3889154323936932E-2</v>
      </c>
      <c r="AC61" s="9">
        <f t="shared" si="39"/>
        <v>-1.2442396313364003E-2</v>
      </c>
    </row>
    <row r="62" spans="1:69" x14ac:dyDescent="0.35">
      <c r="A62" s="61"/>
      <c r="B62" s="10" t="s">
        <v>5</v>
      </c>
      <c r="C62" s="19">
        <v>162.4</v>
      </c>
      <c r="D62" s="19">
        <v>170.8</v>
      </c>
      <c r="E62" s="19">
        <v>175.2</v>
      </c>
      <c r="F62" s="19">
        <v>169.2</v>
      </c>
      <c r="G62" s="19">
        <v>169.7</v>
      </c>
      <c r="H62" s="19">
        <v>170.9</v>
      </c>
      <c r="I62" s="19">
        <v>181.4</v>
      </c>
      <c r="J62" s="19">
        <v>190.2</v>
      </c>
      <c r="K62" s="19">
        <v>194.5</v>
      </c>
      <c r="L62" s="19">
        <v>175.2</v>
      </c>
      <c r="M62" s="19">
        <v>175.2</v>
      </c>
      <c r="N62" s="19">
        <v>169.6</v>
      </c>
      <c r="O62" s="19">
        <v>173.2</v>
      </c>
      <c r="Q62" s="9">
        <f t="shared" si="40"/>
        <v>5.1724137931034517E-2</v>
      </c>
      <c r="R62" s="9">
        <f t="shared" si="41"/>
        <v>2.5761124121779725E-2</v>
      </c>
      <c r="S62" s="9">
        <f t="shared" si="42"/>
        <v>-3.4246575342465758E-2</v>
      </c>
      <c r="T62" s="9">
        <f t="shared" si="43"/>
        <v>2.9550827423167852E-3</v>
      </c>
      <c r="U62" s="9">
        <f t="shared" si="44"/>
        <v>7.0713022981733478E-3</v>
      </c>
      <c r="V62" s="9">
        <f t="shared" si="45"/>
        <v>6.1439438267992974E-2</v>
      </c>
      <c r="W62" s="9">
        <f t="shared" si="46"/>
        <v>4.8511576626240255E-2</v>
      </c>
      <c r="X62" s="9">
        <f t="shared" si="47"/>
        <v>2.2607781282860208E-2</v>
      </c>
      <c r="Y62" s="9">
        <f t="shared" si="48"/>
        <v>-9.9228791773778982E-2</v>
      </c>
      <c r="Z62" s="9">
        <f t="shared" si="49"/>
        <v>0</v>
      </c>
      <c r="AA62" s="9">
        <f t="shared" si="50"/>
        <v>-3.1963470319634674E-2</v>
      </c>
      <c r="AB62" s="9">
        <f t="shared" si="51"/>
        <v>2.122641509433959E-2</v>
      </c>
      <c r="AC62" s="9">
        <f t="shared" si="39"/>
        <v>6.6502463054187083E-2</v>
      </c>
    </row>
    <row r="63" spans="1:69" x14ac:dyDescent="0.35">
      <c r="A63" s="61"/>
      <c r="B63" s="10" t="s">
        <v>6</v>
      </c>
      <c r="C63" s="19">
        <v>164.9</v>
      </c>
      <c r="D63" s="19">
        <v>165.8</v>
      </c>
      <c r="E63" s="19">
        <v>166.6</v>
      </c>
      <c r="F63" s="19">
        <v>168.1</v>
      </c>
      <c r="G63" s="19">
        <v>169.7</v>
      </c>
      <c r="H63" s="19">
        <v>170.9</v>
      </c>
      <c r="I63" s="19">
        <v>172.3</v>
      </c>
      <c r="J63" s="19">
        <v>173.6</v>
      </c>
      <c r="K63" s="19">
        <v>174.6</v>
      </c>
      <c r="L63" s="19">
        <v>177.3</v>
      </c>
      <c r="M63" s="19">
        <v>177.3</v>
      </c>
      <c r="N63" s="19">
        <v>178.4</v>
      </c>
      <c r="O63" s="19">
        <v>179.5</v>
      </c>
      <c r="Q63" s="9">
        <f t="shared" si="40"/>
        <v>5.4578532443905741E-3</v>
      </c>
      <c r="R63" s="9">
        <f t="shared" si="41"/>
        <v>4.8250904704462173E-3</v>
      </c>
      <c r="S63" s="9">
        <f t="shared" si="42"/>
        <v>9.00360144057623E-3</v>
      </c>
      <c r="T63" s="9">
        <f t="shared" si="43"/>
        <v>9.5181439619273899E-3</v>
      </c>
      <c r="U63" s="9">
        <f t="shared" si="44"/>
        <v>7.0713022981733478E-3</v>
      </c>
      <c r="V63" s="9">
        <f t="shared" si="45"/>
        <v>8.1919251023990971E-3</v>
      </c>
      <c r="W63" s="9">
        <f t="shared" si="46"/>
        <v>7.5449796865930518E-3</v>
      </c>
      <c r="X63" s="9">
        <f t="shared" si="47"/>
        <v>5.7603686635944703E-3</v>
      </c>
      <c r="Y63" s="9">
        <f t="shared" si="48"/>
        <v>1.5463917525773294E-2</v>
      </c>
      <c r="Z63" s="9">
        <f t="shared" si="49"/>
        <v>0</v>
      </c>
      <c r="AA63" s="9">
        <f t="shared" si="50"/>
        <v>6.2041737168640398E-3</v>
      </c>
      <c r="AB63" s="9">
        <f t="shared" si="51"/>
        <v>6.1659192825111791E-3</v>
      </c>
      <c r="AC63" s="9">
        <f t="shared" si="39"/>
        <v>8.853850818677983E-2</v>
      </c>
    </row>
    <row r="64" spans="1:69" x14ac:dyDescent="0.35">
      <c r="A64" s="61"/>
      <c r="B64" s="10" t="s">
        <v>7</v>
      </c>
      <c r="C64" s="19">
        <v>202.4</v>
      </c>
      <c r="D64" s="19">
        <v>200.9</v>
      </c>
      <c r="E64" s="19">
        <v>195.8</v>
      </c>
      <c r="F64" s="19">
        <v>192.4</v>
      </c>
      <c r="G64" s="19">
        <v>188.7</v>
      </c>
      <c r="H64" s="19">
        <v>186.5</v>
      </c>
      <c r="I64" s="19">
        <v>188.9</v>
      </c>
      <c r="J64" s="19">
        <v>188.5</v>
      </c>
      <c r="K64" s="19">
        <v>187.2</v>
      </c>
      <c r="L64" s="19">
        <v>179.3</v>
      </c>
      <c r="M64" s="19">
        <v>179.2</v>
      </c>
      <c r="N64" s="19">
        <v>174.9</v>
      </c>
      <c r="O64" s="19">
        <v>170</v>
      </c>
      <c r="Q64" s="9">
        <f t="shared" si="40"/>
        <v>-7.411067193675889E-3</v>
      </c>
      <c r="R64" s="9">
        <f t="shared" si="41"/>
        <v>-2.5385764061722219E-2</v>
      </c>
      <c r="S64" s="9">
        <f t="shared" si="42"/>
        <v>-1.7364657814096043E-2</v>
      </c>
      <c r="T64" s="9">
        <f t="shared" si="43"/>
        <v>-1.9230769230769319E-2</v>
      </c>
      <c r="U64" s="9">
        <f t="shared" si="44"/>
        <v>-1.1658717541070422E-2</v>
      </c>
      <c r="V64" s="9">
        <f t="shared" si="45"/>
        <v>1.286863270777483E-2</v>
      </c>
      <c r="W64" s="9">
        <f t="shared" si="46"/>
        <v>-2.1175224986765785E-3</v>
      </c>
      <c r="X64" s="9">
        <f t="shared" si="47"/>
        <v>-6.8965517241379917E-3</v>
      </c>
      <c r="Y64" s="9">
        <f t="shared" si="48"/>
        <v>-4.2200854700854579E-2</v>
      </c>
      <c r="Z64" s="9">
        <f t="shared" si="49"/>
        <v>-5.5772448410497898E-4</v>
      </c>
      <c r="AA64" s="9">
        <f t="shared" si="50"/>
        <v>-2.3995535714285622E-2</v>
      </c>
      <c r="AB64" s="9">
        <f t="shared" si="51"/>
        <v>-2.801600914808465E-2</v>
      </c>
      <c r="AC64" s="9">
        <f t="shared" si="39"/>
        <v>-0.16007905138339923</v>
      </c>
    </row>
    <row r="65" spans="1:29" x14ac:dyDescent="0.35">
      <c r="A65" s="61"/>
      <c r="B65" s="10" t="s">
        <v>8</v>
      </c>
      <c r="C65" s="19">
        <v>171</v>
      </c>
      <c r="D65" s="19">
        <v>169.7</v>
      </c>
      <c r="E65" s="19">
        <v>174.2</v>
      </c>
      <c r="F65" s="19">
        <v>172.9</v>
      </c>
      <c r="G65" s="19">
        <v>165.7</v>
      </c>
      <c r="H65" s="19">
        <v>163.80000000000001</v>
      </c>
      <c r="I65" s="19">
        <v>160.69999999999999</v>
      </c>
      <c r="J65" s="19">
        <v>158</v>
      </c>
      <c r="K65" s="19">
        <v>158.30000000000001</v>
      </c>
      <c r="L65" s="19">
        <v>169.5</v>
      </c>
      <c r="M65" s="19">
        <v>169.5</v>
      </c>
      <c r="N65" s="19">
        <v>176.3</v>
      </c>
      <c r="O65" s="19">
        <v>172.2</v>
      </c>
      <c r="Q65" s="9">
        <f t="shared" si="40"/>
        <v>-7.6023391812866164E-3</v>
      </c>
      <c r="R65" s="9">
        <f t="shared" si="41"/>
        <v>2.6517383618149679E-2</v>
      </c>
      <c r="S65" s="9">
        <f t="shared" si="42"/>
        <v>-7.4626865671640818E-3</v>
      </c>
      <c r="T65" s="9">
        <f t="shared" si="43"/>
        <v>-4.1642567958357531E-2</v>
      </c>
      <c r="U65" s="9">
        <f t="shared" si="44"/>
        <v>-1.1466505733252729E-2</v>
      </c>
      <c r="V65" s="9">
        <f t="shared" si="45"/>
        <v>-1.8925518925519063E-2</v>
      </c>
      <c r="W65" s="9">
        <f t="shared" si="46"/>
        <v>-1.6801493466085806E-2</v>
      </c>
      <c r="X65" s="9">
        <f t="shared" si="47"/>
        <v>1.8987341772152618E-3</v>
      </c>
      <c r="Y65" s="9">
        <f t="shared" si="48"/>
        <v>7.0751737207833149E-2</v>
      </c>
      <c r="Z65" s="9">
        <f t="shared" si="49"/>
        <v>0</v>
      </c>
      <c r="AA65" s="9">
        <f t="shared" si="50"/>
        <v>4.0117994100295054E-2</v>
      </c>
      <c r="AB65" s="9">
        <f t="shared" si="51"/>
        <v>-2.32558139534885E-2</v>
      </c>
      <c r="AC65" s="9">
        <f t="shared" si="39"/>
        <v>7.0175438596490562E-3</v>
      </c>
    </row>
    <row r="66" spans="1:29" x14ac:dyDescent="0.35">
      <c r="A66" s="61"/>
      <c r="B66" s="10" t="s">
        <v>9</v>
      </c>
      <c r="C66" s="19">
        <v>174.9</v>
      </c>
      <c r="D66" s="19">
        <v>182.3</v>
      </c>
      <c r="E66" s="19">
        <v>182.1</v>
      </c>
      <c r="F66" s="19">
        <v>186.7</v>
      </c>
      <c r="G66" s="19">
        <v>191.8</v>
      </c>
      <c r="H66" s="19">
        <v>199.7</v>
      </c>
      <c r="I66" s="19">
        <v>183.1</v>
      </c>
      <c r="J66" s="19">
        <v>159.9</v>
      </c>
      <c r="K66" s="19">
        <v>153.9</v>
      </c>
      <c r="L66" s="19">
        <v>152.69999999999999</v>
      </c>
      <c r="M66" s="19">
        <v>152.80000000000001</v>
      </c>
      <c r="N66" s="19">
        <v>155.4</v>
      </c>
      <c r="O66" s="19">
        <v>161</v>
      </c>
      <c r="Q66" s="9">
        <f t="shared" si="40"/>
        <v>4.230989136649517E-2</v>
      </c>
      <c r="R66" s="9">
        <f t="shared" si="41"/>
        <v>-1.0970927043336097E-3</v>
      </c>
      <c r="S66" s="9">
        <f t="shared" si="42"/>
        <v>2.5260845689181737E-2</v>
      </c>
      <c r="T66" s="9">
        <f t="shared" si="43"/>
        <v>2.7316550615961558E-2</v>
      </c>
      <c r="U66" s="9">
        <f t="shared" si="44"/>
        <v>4.118873826903012E-2</v>
      </c>
      <c r="V66" s="9">
        <f t="shared" si="45"/>
        <v>-8.3124687030545791E-2</v>
      </c>
      <c r="W66" s="9">
        <f t="shared" si="46"/>
        <v>-0.12670671764063349</v>
      </c>
      <c r="X66" s="9">
        <f t="shared" si="47"/>
        <v>-3.7523452157598496E-2</v>
      </c>
      <c r="Y66" s="9">
        <f t="shared" si="48"/>
        <v>-7.7972709551658026E-3</v>
      </c>
      <c r="Z66" s="9">
        <f t="shared" si="49"/>
        <v>6.5487884741337755E-4</v>
      </c>
      <c r="AA66" s="9">
        <f t="shared" si="50"/>
        <v>1.7015706806282685E-2</v>
      </c>
      <c r="AB66" s="9">
        <f t="shared" si="51"/>
        <v>3.6036036036036001E-2</v>
      </c>
      <c r="AC66" s="9">
        <f t="shared" si="39"/>
        <v>-7.9473985134362518E-2</v>
      </c>
    </row>
    <row r="67" spans="1:29" x14ac:dyDescent="0.35">
      <c r="A67" s="61"/>
      <c r="B67" s="10" t="s">
        <v>10</v>
      </c>
      <c r="C67" s="19">
        <v>164.7</v>
      </c>
      <c r="D67" s="19">
        <v>164.3</v>
      </c>
      <c r="E67" s="19">
        <v>164.3</v>
      </c>
      <c r="F67" s="19">
        <v>167.2</v>
      </c>
      <c r="G67" s="19">
        <v>169.1</v>
      </c>
      <c r="H67" s="19">
        <v>169.8</v>
      </c>
      <c r="I67" s="19">
        <v>170.5</v>
      </c>
      <c r="J67" s="19">
        <v>170.8</v>
      </c>
      <c r="K67" s="19">
        <v>170.9</v>
      </c>
      <c r="L67" s="19">
        <v>171</v>
      </c>
      <c r="M67" s="19">
        <v>171.1</v>
      </c>
      <c r="N67" s="19">
        <v>173.4</v>
      </c>
      <c r="O67" s="19">
        <v>175.6</v>
      </c>
      <c r="Q67" s="9">
        <f t="shared" si="40"/>
        <v>-2.4286581663629466E-3</v>
      </c>
      <c r="R67" s="9">
        <f t="shared" si="41"/>
        <v>0</v>
      </c>
      <c r="S67" s="9">
        <f t="shared" si="42"/>
        <v>1.7650639074862917E-2</v>
      </c>
      <c r="T67" s="9">
        <f t="shared" si="43"/>
        <v>1.1363636363636399E-2</v>
      </c>
      <c r="U67" s="9">
        <f t="shared" si="44"/>
        <v>4.1395623891189656E-3</v>
      </c>
      <c r="V67" s="9">
        <f t="shared" si="45"/>
        <v>4.1224970553591792E-3</v>
      </c>
      <c r="W67" s="9">
        <f t="shared" si="46"/>
        <v>1.7595307917889231E-3</v>
      </c>
      <c r="X67" s="9">
        <f t="shared" si="47"/>
        <v>5.854800936767817E-4</v>
      </c>
      <c r="Y67" s="9">
        <f t="shared" si="48"/>
        <v>5.8513750731418557E-4</v>
      </c>
      <c r="Z67" s="9">
        <f t="shared" si="49"/>
        <v>5.8479532163739363E-4</v>
      </c>
      <c r="AA67" s="9">
        <f t="shared" si="50"/>
        <v>1.3442431326709593E-2</v>
      </c>
      <c r="AB67" s="9">
        <f t="shared" si="51"/>
        <v>1.2687427912341341E-2</v>
      </c>
      <c r="AC67" s="9">
        <f t="shared" si="39"/>
        <v>6.6180935033394089E-2</v>
      </c>
    </row>
    <row r="68" spans="1:29" x14ac:dyDescent="0.35">
      <c r="A68" s="61"/>
      <c r="B68" s="10" t="s">
        <v>12</v>
      </c>
      <c r="C68" s="19">
        <v>184.9</v>
      </c>
      <c r="D68" s="19">
        <v>187.1</v>
      </c>
      <c r="E68" s="19">
        <v>190</v>
      </c>
      <c r="F68" s="19">
        <v>193.6</v>
      </c>
      <c r="G68" s="19">
        <v>197.3</v>
      </c>
      <c r="H68" s="19">
        <v>199.9</v>
      </c>
      <c r="I68" s="19">
        <v>202.8</v>
      </c>
      <c r="J68" s="19">
        <v>205.2</v>
      </c>
      <c r="K68" s="19">
        <v>208.4</v>
      </c>
      <c r="L68" s="19">
        <v>209.7</v>
      </c>
      <c r="M68" s="19">
        <v>209.7</v>
      </c>
      <c r="N68" s="19">
        <v>212.9</v>
      </c>
      <c r="O68" s="19">
        <v>218</v>
      </c>
      <c r="Q68" s="9">
        <f t="shared" si="40"/>
        <v>1.1898323418063756E-2</v>
      </c>
      <c r="R68" s="9">
        <f t="shared" si="41"/>
        <v>1.5499732763228252E-2</v>
      </c>
      <c r="S68" s="9">
        <f t="shared" si="42"/>
        <v>1.8947368421052602E-2</v>
      </c>
      <c r="T68" s="9">
        <f t="shared" si="43"/>
        <v>1.9111570247933973E-2</v>
      </c>
      <c r="U68" s="9">
        <f t="shared" si="44"/>
        <v>1.3177901672579798E-2</v>
      </c>
      <c r="V68" s="9">
        <f t="shared" si="45"/>
        <v>1.4507253626813434E-2</v>
      </c>
      <c r="W68" s="9">
        <f t="shared" si="46"/>
        <v>1.1834319526627106E-2</v>
      </c>
      <c r="X68" s="9">
        <f t="shared" si="47"/>
        <v>1.5594541910331468E-2</v>
      </c>
      <c r="Y68" s="9">
        <f t="shared" si="48"/>
        <v>6.2380038387715112E-3</v>
      </c>
      <c r="Z68" s="9">
        <f t="shared" si="49"/>
        <v>0</v>
      </c>
      <c r="AA68" s="9">
        <f t="shared" si="50"/>
        <v>1.5259895088221351E-2</v>
      </c>
      <c r="AB68" s="9">
        <f t="shared" si="51"/>
        <v>2.3954908407703118E-2</v>
      </c>
      <c r="AC68" s="9">
        <f t="shared" si="39"/>
        <v>0.1790156841535965</v>
      </c>
    </row>
    <row r="69" spans="1:29" x14ac:dyDescent="0.35">
      <c r="A69" s="58" t="s">
        <v>75</v>
      </c>
      <c r="B69" s="10" t="s">
        <v>11</v>
      </c>
      <c r="C69" s="19">
        <v>119.7</v>
      </c>
      <c r="D69" s="19">
        <v>119.9</v>
      </c>
      <c r="E69" s="19">
        <v>120</v>
      </c>
      <c r="F69" s="19">
        <v>120.9</v>
      </c>
      <c r="G69" s="19">
        <v>121.6</v>
      </c>
      <c r="H69" s="19">
        <v>121.9</v>
      </c>
      <c r="I69" s="19">
        <v>122.1</v>
      </c>
      <c r="J69" s="19">
        <v>121.8</v>
      </c>
      <c r="K69" s="19">
        <v>121.1</v>
      </c>
      <c r="L69" s="19">
        <v>120</v>
      </c>
      <c r="M69" s="19">
        <v>120</v>
      </c>
      <c r="N69" s="19">
        <v>121.3</v>
      </c>
      <c r="O69" s="19">
        <v>122.7</v>
      </c>
      <c r="Q69" s="9">
        <f t="shared" ref="Q69:AB73" si="52">(D69-C69)/C69</f>
        <v>1.6708437761069578E-3</v>
      </c>
      <c r="R69" s="9">
        <f t="shared" si="52"/>
        <v>8.3402835696408937E-4</v>
      </c>
      <c r="S69" s="9">
        <f t="shared" si="52"/>
        <v>7.5000000000000474E-3</v>
      </c>
      <c r="T69" s="9">
        <f t="shared" si="52"/>
        <v>5.7899090157153728E-3</v>
      </c>
      <c r="U69" s="9">
        <f t="shared" si="52"/>
        <v>2.4671052631579883E-3</v>
      </c>
      <c r="V69" s="9">
        <f t="shared" si="52"/>
        <v>1.640689089417462E-3</v>
      </c>
      <c r="W69" s="9">
        <f t="shared" si="52"/>
        <v>-2.457002457002434E-3</v>
      </c>
      <c r="X69" s="9">
        <f t="shared" si="52"/>
        <v>-5.7471264367816325E-3</v>
      </c>
      <c r="Y69" s="9">
        <f t="shared" si="52"/>
        <v>-9.0834021469859156E-3</v>
      </c>
      <c r="Z69" s="9">
        <f t="shared" si="52"/>
        <v>0</v>
      </c>
      <c r="AA69" s="9">
        <f t="shared" si="52"/>
        <v>1.0833333333333309E-2</v>
      </c>
      <c r="AB69" s="9">
        <f t="shared" si="52"/>
        <v>1.1541632316570533E-2</v>
      </c>
      <c r="AC69" s="9">
        <f t="shared" si="39"/>
        <v>2.5062656641604009E-2</v>
      </c>
    </row>
    <row r="70" spans="1:29" x14ac:dyDescent="0.35">
      <c r="A70" s="58"/>
      <c r="B70" s="10" t="s">
        <v>13</v>
      </c>
      <c r="C70" s="19">
        <v>167.1</v>
      </c>
      <c r="D70" s="19">
        <v>167.9</v>
      </c>
      <c r="E70" s="19">
        <v>168.4</v>
      </c>
      <c r="F70" s="19">
        <v>168.8</v>
      </c>
      <c r="G70" s="19">
        <v>169.4</v>
      </c>
      <c r="H70" s="19">
        <v>169.9</v>
      </c>
      <c r="I70" s="19">
        <v>170.4</v>
      </c>
      <c r="J70" s="19">
        <v>171</v>
      </c>
      <c r="K70" s="19">
        <v>171.4</v>
      </c>
      <c r="L70" s="19">
        <v>172.3</v>
      </c>
      <c r="M70" s="19">
        <v>172.3</v>
      </c>
      <c r="N70" s="19">
        <v>172.9</v>
      </c>
      <c r="O70" s="19">
        <v>173.4</v>
      </c>
      <c r="Q70" s="9">
        <f t="shared" si="52"/>
        <v>4.7875523638540481E-3</v>
      </c>
      <c r="R70" s="9">
        <f t="shared" si="52"/>
        <v>2.9779630732578916E-3</v>
      </c>
      <c r="S70" s="9">
        <f t="shared" si="52"/>
        <v>2.3752969121140478E-3</v>
      </c>
      <c r="T70" s="9">
        <f t="shared" si="52"/>
        <v>3.5545023696682125E-3</v>
      </c>
      <c r="U70" s="9">
        <f t="shared" si="52"/>
        <v>2.9515938606847697E-3</v>
      </c>
      <c r="V70" s="9">
        <f t="shared" si="52"/>
        <v>2.942907592701589E-3</v>
      </c>
      <c r="W70" s="9">
        <f t="shared" si="52"/>
        <v>3.521126760563347E-3</v>
      </c>
      <c r="X70" s="9">
        <f t="shared" si="52"/>
        <v>2.339181286549741E-3</v>
      </c>
      <c r="Y70" s="9">
        <f t="shared" si="52"/>
        <v>5.2508751458576761E-3</v>
      </c>
      <c r="Z70" s="9">
        <f t="shared" si="52"/>
        <v>0</v>
      </c>
      <c r="AA70" s="9">
        <f t="shared" si="52"/>
        <v>3.4822983168891135E-3</v>
      </c>
      <c r="AB70" s="9">
        <f t="shared" si="52"/>
        <v>2.8918449971081549E-3</v>
      </c>
      <c r="AC70" s="9">
        <f t="shared" si="39"/>
        <v>3.7701974865350159E-2</v>
      </c>
    </row>
    <row r="71" spans="1:29" x14ac:dyDescent="0.35">
      <c r="A71" s="58"/>
      <c r="B71" s="10" t="s">
        <v>74</v>
      </c>
      <c r="C71" s="19">
        <v>182.5</v>
      </c>
      <c r="D71" s="19">
        <v>183.9</v>
      </c>
      <c r="E71" s="19">
        <v>185.2</v>
      </c>
      <c r="F71" s="19">
        <v>186.3</v>
      </c>
      <c r="G71" s="19">
        <v>187.4</v>
      </c>
      <c r="H71" s="19">
        <v>188.3</v>
      </c>
      <c r="I71" s="19">
        <v>189.5</v>
      </c>
      <c r="J71" s="19">
        <v>190.3</v>
      </c>
      <c r="K71" s="19">
        <v>191.2</v>
      </c>
      <c r="L71" s="19">
        <v>193</v>
      </c>
      <c r="M71" s="19">
        <v>193</v>
      </c>
      <c r="N71" s="19">
        <v>193.5</v>
      </c>
      <c r="O71" s="19">
        <v>194.2</v>
      </c>
      <c r="Q71" s="9">
        <f t="shared" si="52"/>
        <v>7.6712328767123599E-3</v>
      </c>
      <c r="R71" s="9">
        <f t="shared" si="52"/>
        <v>7.0690592713430287E-3</v>
      </c>
      <c r="S71" s="9">
        <f t="shared" si="52"/>
        <v>5.9395248380130824E-3</v>
      </c>
      <c r="T71" s="9">
        <f t="shared" si="52"/>
        <v>5.9044551798174676E-3</v>
      </c>
      <c r="U71" s="9">
        <f t="shared" si="52"/>
        <v>4.8025613660619302E-3</v>
      </c>
      <c r="V71" s="9">
        <f t="shared" si="52"/>
        <v>6.3728093467869812E-3</v>
      </c>
      <c r="W71" s="9">
        <f t="shared" si="52"/>
        <v>4.2216358839050729E-3</v>
      </c>
      <c r="X71" s="9">
        <f t="shared" si="52"/>
        <v>4.7293746715710832E-3</v>
      </c>
      <c r="Y71" s="9">
        <f t="shared" si="52"/>
        <v>9.4142259414226534E-3</v>
      </c>
      <c r="Z71" s="9">
        <f t="shared" si="52"/>
        <v>0</v>
      </c>
      <c r="AA71" s="9">
        <f t="shared" si="52"/>
        <v>2.5906735751295338E-3</v>
      </c>
      <c r="AB71" s="9">
        <f t="shared" si="52"/>
        <v>3.6175710594314658E-3</v>
      </c>
      <c r="AC71" s="9">
        <f t="shared" si="39"/>
        <v>6.410958904109583E-2</v>
      </c>
    </row>
    <row r="72" spans="1:29" x14ac:dyDescent="0.35">
      <c r="A72" s="58"/>
      <c r="B72" s="10" t="s">
        <v>15</v>
      </c>
      <c r="C72" s="19">
        <v>173.3</v>
      </c>
      <c r="D72" s="19">
        <v>174.9</v>
      </c>
      <c r="E72" s="19">
        <v>175</v>
      </c>
      <c r="F72" s="19">
        <v>176.3</v>
      </c>
      <c r="G72" s="19">
        <v>177.8</v>
      </c>
      <c r="H72" s="19">
        <v>179.6</v>
      </c>
      <c r="I72" s="19">
        <v>178.3</v>
      </c>
      <c r="J72" s="19">
        <v>175.9</v>
      </c>
      <c r="K72" s="19">
        <v>176.7</v>
      </c>
      <c r="L72" s="19">
        <v>177</v>
      </c>
      <c r="M72" s="19">
        <v>177</v>
      </c>
      <c r="N72" s="19">
        <v>177.9</v>
      </c>
      <c r="O72" s="19">
        <v>179.1</v>
      </c>
      <c r="Q72" s="9">
        <f t="shared" si="52"/>
        <v>9.2325447201384546E-3</v>
      </c>
      <c r="R72" s="9">
        <f t="shared" si="52"/>
        <v>5.7175528873638828E-4</v>
      </c>
      <c r="S72" s="9">
        <f t="shared" si="52"/>
        <v>7.4285714285714935E-3</v>
      </c>
      <c r="T72" s="9">
        <f t="shared" si="52"/>
        <v>8.5082246171298923E-3</v>
      </c>
      <c r="U72" s="9">
        <f t="shared" si="52"/>
        <v>1.0123734533183255E-2</v>
      </c>
      <c r="V72" s="9">
        <f t="shared" si="52"/>
        <v>-7.2383073496658295E-3</v>
      </c>
      <c r="W72" s="9">
        <f t="shared" si="52"/>
        <v>-1.3460459899046581E-2</v>
      </c>
      <c r="X72" s="9">
        <f t="shared" si="52"/>
        <v>4.5480386583284984E-3</v>
      </c>
      <c r="Y72" s="9">
        <f t="shared" si="52"/>
        <v>1.6977928692700134E-3</v>
      </c>
      <c r="Z72" s="9">
        <f t="shared" si="52"/>
        <v>0</v>
      </c>
      <c r="AA72" s="9">
        <f t="shared" si="52"/>
        <v>5.0847457627118961E-3</v>
      </c>
      <c r="AB72" s="9">
        <f t="shared" si="52"/>
        <v>6.7453625632377095E-3</v>
      </c>
      <c r="AC72" s="9">
        <f t="shared" si="39"/>
        <v>3.3467974610501917E-2</v>
      </c>
    </row>
    <row r="73" spans="1:29" x14ac:dyDescent="0.35">
      <c r="A73" s="58"/>
      <c r="B73" s="10" t="s">
        <v>73</v>
      </c>
      <c r="C73" s="19">
        <v>194.1</v>
      </c>
      <c r="D73" s="19">
        <v>194.3</v>
      </c>
      <c r="E73" s="19">
        <v>194.6</v>
      </c>
      <c r="F73" s="19">
        <v>195</v>
      </c>
      <c r="G73" s="19">
        <v>195.9</v>
      </c>
      <c r="H73" s="19">
        <v>196.3</v>
      </c>
      <c r="I73" s="19">
        <v>196.9</v>
      </c>
      <c r="J73" s="19">
        <v>197.3</v>
      </c>
      <c r="K73" s="19">
        <v>198.2</v>
      </c>
      <c r="L73" s="19">
        <v>199.5</v>
      </c>
      <c r="M73" s="19">
        <v>199.5</v>
      </c>
      <c r="N73" s="19">
        <v>200.6</v>
      </c>
      <c r="O73" s="19">
        <v>201</v>
      </c>
      <c r="Q73" s="9">
        <f t="shared" si="52"/>
        <v>1.0303967027306391E-3</v>
      </c>
      <c r="R73" s="9">
        <f t="shared" si="52"/>
        <v>1.5440041173442251E-3</v>
      </c>
      <c r="S73" s="9">
        <f t="shared" si="52"/>
        <v>2.0554984583761853E-3</v>
      </c>
      <c r="T73" s="9">
        <f t="shared" si="52"/>
        <v>4.6153846153846444E-3</v>
      </c>
      <c r="U73" s="9">
        <f t="shared" si="52"/>
        <v>2.0418580908627142E-3</v>
      </c>
      <c r="V73" s="9">
        <f t="shared" si="52"/>
        <v>3.0565461029036897E-3</v>
      </c>
      <c r="W73" s="9">
        <f t="shared" si="52"/>
        <v>2.031488065007647E-3</v>
      </c>
      <c r="X73" s="9">
        <f t="shared" si="52"/>
        <v>4.5615813482005937E-3</v>
      </c>
      <c r="Y73" s="9">
        <f t="shared" si="52"/>
        <v>6.5590312815338621E-3</v>
      </c>
      <c r="Z73" s="9">
        <f t="shared" si="52"/>
        <v>0</v>
      </c>
      <c r="AA73" s="9">
        <f t="shared" si="52"/>
        <v>5.5137844611528536E-3</v>
      </c>
      <c r="AB73" s="9">
        <f t="shared" si="52"/>
        <v>1.9940179461615439E-3</v>
      </c>
      <c r="AC73" s="9">
        <f t="shared" si="39"/>
        <v>3.5548686244204049E-2</v>
      </c>
    </row>
    <row r="76" spans="1:29" x14ac:dyDescent="0.35">
      <c r="A76" s="55"/>
      <c r="B76" s="15" t="s">
        <v>1</v>
      </c>
      <c r="C76" s="20">
        <v>44682</v>
      </c>
      <c r="D76" s="20">
        <v>44713</v>
      </c>
      <c r="E76" s="20">
        <v>44743</v>
      </c>
      <c r="F76" s="20">
        <v>44774</v>
      </c>
      <c r="G76" s="20">
        <v>44805</v>
      </c>
      <c r="H76" s="20">
        <v>44835</v>
      </c>
      <c r="I76" s="20">
        <v>44866</v>
      </c>
      <c r="J76" s="20">
        <v>44896</v>
      </c>
      <c r="K76" s="20">
        <v>44927</v>
      </c>
      <c r="L76" s="20">
        <v>44958</v>
      </c>
      <c r="M76" s="20">
        <v>44986</v>
      </c>
      <c r="N76" s="20">
        <v>45017</v>
      </c>
      <c r="O76" s="20">
        <v>45047</v>
      </c>
    </row>
    <row r="77" spans="1:29" x14ac:dyDescent="0.35">
      <c r="A77" s="55"/>
      <c r="B77" s="56" t="s">
        <v>76</v>
      </c>
      <c r="C77" s="17">
        <f>SUM(C60:C68)</f>
        <v>1596.3000000000002</v>
      </c>
      <c r="D77" s="17">
        <f>SUM(D60:D68)</f>
        <v>1615.2999999999997</v>
      </c>
      <c r="E77" s="17">
        <f>SUM(E60:E68)</f>
        <v>1617.7</v>
      </c>
      <c r="F77" s="17">
        <f>SUM(F60:F68)</f>
        <v>1616.9</v>
      </c>
      <c r="G77" s="17">
        <f>SUM(G60:G68)</f>
        <v>1624.6999999999998</v>
      </c>
      <c r="H77" s="17">
        <f t="shared" ref="H77:O77" si="53">SUM(H60:H68)</f>
        <v>1637.6000000000001</v>
      </c>
      <c r="I77" s="17">
        <f t="shared" si="53"/>
        <v>1636.4999999999998</v>
      </c>
      <c r="J77" s="17">
        <f t="shared" si="53"/>
        <v>1624.4</v>
      </c>
      <c r="K77" s="17">
        <f t="shared" si="53"/>
        <v>1632.3000000000002</v>
      </c>
      <c r="L77" s="17">
        <f t="shared" si="53"/>
        <v>1616.8</v>
      </c>
      <c r="M77" s="17">
        <f t="shared" si="53"/>
        <v>1616.8999999999999</v>
      </c>
      <c r="N77" s="17">
        <f t="shared" si="53"/>
        <v>1624.0000000000002</v>
      </c>
      <c r="O77" s="17">
        <f t="shared" si="53"/>
        <v>1637.5</v>
      </c>
    </row>
    <row r="78" spans="1:29" x14ac:dyDescent="0.35">
      <c r="A78" s="55"/>
      <c r="B78" s="56"/>
      <c r="C78" s="5" t="s">
        <v>80</v>
      </c>
      <c r="D78" s="9">
        <f t="shared" ref="D78:O78" si="54">(D77-C77)/C77</f>
        <v>1.1902524588109718E-2</v>
      </c>
      <c r="E78" s="9">
        <f t="shared" si="54"/>
        <v>1.485792112920398E-3</v>
      </c>
      <c r="F78" s="9">
        <f t="shared" si="54"/>
        <v>-4.9452926995113714E-4</v>
      </c>
      <c r="G78" s="9">
        <f t="shared" si="54"/>
        <v>4.8240460139771955E-3</v>
      </c>
      <c r="H78" s="9">
        <f t="shared" si="54"/>
        <v>7.9399273712071894E-3</v>
      </c>
      <c r="I78" s="9">
        <f t="shared" si="54"/>
        <v>-6.7171470444575218E-4</v>
      </c>
      <c r="J78" s="9">
        <f t="shared" si="54"/>
        <v>-7.393828292086577E-3</v>
      </c>
      <c r="K78" s="9">
        <f t="shared" si="54"/>
        <v>4.8633341541492797E-3</v>
      </c>
      <c r="L78" s="9">
        <f t="shared" si="54"/>
        <v>-9.4958034674999855E-3</v>
      </c>
      <c r="M78" s="9">
        <f t="shared" si="54"/>
        <v>6.1850569025178782E-5</v>
      </c>
      <c r="N78" s="9">
        <f t="shared" si="54"/>
        <v>4.3911188075950059E-3</v>
      </c>
      <c r="O78" s="9">
        <f t="shared" si="54"/>
        <v>8.312807881773257E-3</v>
      </c>
    </row>
    <row r="79" spans="1:29" x14ac:dyDescent="0.35">
      <c r="A79" s="5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spans="1:29" x14ac:dyDescent="0.35">
      <c r="A80" s="55"/>
      <c r="B80" s="57" t="s">
        <v>75</v>
      </c>
      <c r="C80" s="17">
        <f>SUM(C69:C73)</f>
        <v>836.7</v>
      </c>
      <c r="D80" s="17">
        <f t="shared" ref="D80:O80" si="55">SUM(D69:D73)</f>
        <v>840.90000000000009</v>
      </c>
      <c r="E80" s="17">
        <f t="shared" si="55"/>
        <v>843.19999999999993</v>
      </c>
      <c r="F80" s="17">
        <f t="shared" si="55"/>
        <v>847.30000000000007</v>
      </c>
      <c r="G80" s="17">
        <f t="shared" si="55"/>
        <v>852.1</v>
      </c>
      <c r="H80" s="17">
        <f t="shared" si="55"/>
        <v>856</v>
      </c>
      <c r="I80" s="17">
        <f t="shared" si="55"/>
        <v>857.19999999999993</v>
      </c>
      <c r="J80" s="17">
        <f t="shared" si="55"/>
        <v>856.3</v>
      </c>
      <c r="K80" s="17">
        <f t="shared" si="55"/>
        <v>858.59999999999991</v>
      </c>
      <c r="L80" s="17">
        <f t="shared" si="55"/>
        <v>861.8</v>
      </c>
      <c r="M80" s="17">
        <f t="shared" si="55"/>
        <v>861.8</v>
      </c>
      <c r="N80" s="17">
        <f t="shared" si="55"/>
        <v>866.2</v>
      </c>
      <c r="O80" s="17">
        <f t="shared" si="55"/>
        <v>870.4</v>
      </c>
    </row>
    <row r="81" spans="1:15" x14ac:dyDescent="0.35">
      <c r="A81" s="55"/>
      <c r="B81" s="57"/>
      <c r="C81" s="5" t="s">
        <v>80</v>
      </c>
      <c r="D81" s="9">
        <f t="shared" ref="D81:O81" si="56">(D80-C80)/C80</f>
        <v>5.0197203298673904E-3</v>
      </c>
      <c r="E81" s="9">
        <f t="shared" si="56"/>
        <v>2.7351647044831021E-3</v>
      </c>
      <c r="F81" s="9">
        <f t="shared" si="56"/>
        <v>4.8624288425049064E-3</v>
      </c>
      <c r="G81" s="9">
        <f t="shared" si="56"/>
        <v>5.6650536999881436E-3</v>
      </c>
      <c r="H81" s="9">
        <f t="shared" si="56"/>
        <v>4.5769275906583466E-3</v>
      </c>
      <c r="I81" s="9">
        <f t="shared" si="56"/>
        <v>1.401869158878425E-3</v>
      </c>
      <c r="J81" s="9">
        <f t="shared" si="56"/>
        <v>-1.0499300046663291E-3</v>
      </c>
      <c r="K81" s="9">
        <f t="shared" si="56"/>
        <v>2.6859745416325524E-3</v>
      </c>
      <c r="L81" s="9">
        <f t="shared" si="56"/>
        <v>3.726997437689315E-3</v>
      </c>
      <c r="M81" s="9">
        <f t="shared" si="56"/>
        <v>0</v>
      </c>
      <c r="N81" s="9">
        <f t="shared" si="56"/>
        <v>5.1055929449989454E-3</v>
      </c>
      <c r="O81" s="9">
        <f t="shared" si="56"/>
        <v>4.8487647194642479E-3</v>
      </c>
    </row>
  </sheetData>
  <mergeCells count="25">
    <mergeCell ref="C6:O6"/>
    <mergeCell ref="C32:O32"/>
    <mergeCell ref="C58:O58"/>
    <mergeCell ref="Q4:AI4"/>
    <mergeCell ref="Q6:AC6"/>
    <mergeCell ref="Q32:AC32"/>
    <mergeCell ref="Q58:AC58"/>
    <mergeCell ref="A8:A16"/>
    <mergeCell ref="A17:A21"/>
    <mergeCell ref="A33:A42"/>
    <mergeCell ref="A43:A47"/>
    <mergeCell ref="A59:A68"/>
    <mergeCell ref="B25:B26"/>
    <mergeCell ref="B28:B29"/>
    <mergeCell ref="B27:O27"/>
    <mergeCell ref="A24:A29"/>
    <mergeCell ref="A50:A55"/>
    <mergeCell ref="B51:B52"/>
    <mergeCell ref="B53:O53"/>
    <mergeCell ref="B54:B55"/>
    <mergeCell ref="A76:A81"/>
    <mergeCell ref="B77:B78"/>
    <mergeCell ref="B79:O79"/>
    <mergeCell ref="B80:B81"/>
    <mergeCell ref="A69:A73"/>
  </mergeCells>
  <phoneticPr fontId="5" type="noConversion"/>
  <pageMargins left="0.7" right="0.7" top="0.75" bottom="0.75" header="0.3" footer="0.3"/>
  <ignoredErrors>
    <ignoredError sqref="C25:O25 C28:O28 C51:O51 C54:O54 C77:O77 C80:O80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9D65-729D-4A18-B12D-B2A0CFAD8348}">
  <dimension ref="B3:AN79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"/>
    </sheetView>
  </sheetViews>
  <sheetFormatPr defaultRowHeight="14.5" x14ac:dyDescent="0.35"/>
  <cols>
    <col min="2" max="2" width="6" bestFit="1" customWidth="1"/>
    <col min="3" max="3" width="4.81640625" bestFit="1" customWidth="1"/>
    <col min="4" max="4" width="9.90625" bestFit="1" customWidth="1"/>
    <col min="5" max="5" width="18.54296875" bestFit="1" customWidth="1"/>
    <col min="6" max="6" width="12.26953125" bestFit="1" customWidth="1"/>
    <col min="7" max="7" width="5.81640625" bestFit="1" customWidth="1"/>
    <col min="8" max="8" width="15.90625" bestFit="1" customWidth="1"/>
    <col min="9" max="9" width="11.08984375" bestFit="1" customWidth="1"/>
    <col min="10" max="10" width="5.81640625" bestFit="1" customWidth="1"/>
    <col min="11" max="11" width="9.81640625" bestFit="1" customWidth="1"/>
    <col min="12" max="12" width="17.6328125" bestFit="1" customWidth="1"/>
    <col min="13" max="13" width="6.81640625" bestFit="1" customWidth="1"/>
    <col min="14" max="14" width="22" bestFit="1" customWidth="1"/>
    <col min="15" max="15" width="11.90625" bestFit="1" customWidth="1"/>
    <col min="16" max="16" width="6.81640625" bestFit="1" customWidth="1"/>
    <col min="17" max="17" width="26.36328125" bestFit="1" customWidth="1"/>
    <col min="18" max="18" width="9.08984375" bestFit="1" customWidth="1"/>
    <col min="19" max="19" width="26.26953125" bestFit="1" customWidth="1"/>
    <col min="20" max="20" width="12.36328125" bestFit="1" customWidth="1"/>
    <col min="22" max="22" width="7.08984375" customWidth="1"/>
    <col min="23" max="23" width="9.90625" bestFit="1" customWidth="1"/>
    <col min="24" max="24" width="14.36328125" bestFit="1" customWidth="1"/>
    <col min="25" max="25" width="22" bestFit="1" customWidth="1"/>
    <col min="26" max="26" width="11.90625" bestFit="1" customWidth="1"/>
    <col min="27" max="27" width="6.26953125" bestFit="1" customWidth="1"/>
    <col min="28" max="28" width="26.36328125" bestFit="1" customWidth="1"/>
    <col min="29" max="29" width="9.08984375" bestFit="1" customWidth="1"/>
    <col min="30" max="30" width="26.26953125" bestFit="1" customWidth="1"/>
    <col min="31" max="31" width="12.36328125" bestFit="1" customWidth="1"/>
    <col min="34" max="34" width="22" bestFit="1" customWidth="1"/>
    <col min="35" max="35" width="11.90625" bestFit="1" customWidth="1"/>
    <col min="36" max="36" width="6.81640625" bestFit="1" customWidth="1"/>
    <col min="37" max="37" width="26.36328125" bestFit="1" customWidth="1"/>
    <col min="38" max="38" width="9.08984375" bestFit="1" customWidth="1"/>
    <col min="39" max="39" width="26.26953125" bestFit="1" customWidth="1"/>
    <col min="40" max="40" width="12.36328125" bestFit="1" customWidth="1"/>
  </cols>
  <sheetData>
    <row r="3" spans="2:40" x14ac:dyDescent="0.35">
      <c r="B3" s="64" t="s">
        <v>83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V3" s="65" t="s">
        <v>85</v>
      </c>
      <c r="W3" s="65"/>
      <c r="X3" s="65"/>
      <c r="Y3" s="65"/>
      <c r="Z3" s="65"/>
      <c r="AA3" s="65"/>
      <c r="AB3" s="65"/>
      <c r="AC3" s="65"/>
      <c r="AD3" s="65"/>
      <c r="AE3" s="65"/>
      <c r="AG3" s="67" t="s">
        <v>93</v>
      </c>
      <c r="AH3" s="67"/>
      <c r="AI3" s="67"/>
      <c r="AJ3" s="67"/>
      <c r="AK3" s="67"/>
      <c r="AL3" s="67"/>
      <c r="AM3" s="67"/>
      <c r="AN3" s="67"/>
    </row>
    <row r="4" spans="2:40" x14ac:dyDescent="0.35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V4" s="66"/>
      <c r="W4" s="66"/>
      <c r="X4" s="66"/>
      <c r="Y4" s="66"/>
      <c r="Z4" s="66"/>
      <c r="AA4" s="66"/>
      <c r="AB4" s="66"/>
      <c r="AC4" s="66"/>
      <c r="AD4" s="66"/>
      <c r="AE4" s="66"/>
      <c r="AG4" s="68"/>
      <c r="AH4" s="68"/>
      <c r="AI4" s="68"/>
      <c r="AJ4" s="68"/>
      <c r="AK4" s="68"/>
      <c r="AL4" s="68"/>
      <c r="AM4" s="68"/>
      <c r="AN4" s="68"/>
    </row>
    <row r="5" spans="2:40" x14ac:dyDescent="0.35"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12</v>
      </c>
      <c r="N5" s="15" t="s">
        <v>84</v>
      </c>
      <c r="O5" s="15" t="s">
        <v>21</v>
      </c>
      <c r="P5" s="15" t="s">
        <v>23</v>
      </c>
      <c r="Q5" s="15" t="s">
        <v>24</v>
      </c>
      <c r="R5" s="15" t="s">
        <v>26</v>
      </c>
      <c r="S5" s="15" t="s">
        <v>22</v>
      </c>
      <c r="T5" s="15" t="s">
        <v>29</v>
      </c>
      <c r="V5" s="15" t="s">
        <v>1</v>
      </c>
      <c r="W5" s="15" t="s">
        <v>2</v>
      </c>
      <c r="X5" s="15" t="s">
        <v>86</v>
      </c>
      <c r="Y5" s="15" t="s">
        <v>84</v>
      </c>
      <c r="Z5" s="15" t="s">
        <v>21</v>
      </c>
      <c r="AA5" s="15" t="s">
        <v>23</v>
      </c>
      <c r="AB5" s="15" t="s">
        <v>24</v>
      </c>
      <c r="AC5" s="15" t="s">
        <v>26</v>
      </c>
      <c r="AD5" s="15" t="s">
        <v>22</v>
      </c>
      <c r="AE5" s="15" t="s">
        <v>29</v>
      </c>
      <c r="AG5" s="15" t="s">
        <v>1</v>
      </c>
      <c r="AH5" s="15" t="s">
        <v>84</v>
      </c>
      <c r="AI5" s="15" t="s">
        <v>21</v>
      </c>
      <c r="AJ5" s="15" t="s">
        <v>23</v>
      </c>
      <c r="AK5" s="15" t="s">
        <v>24</v>
      </c>
      <c r="AL5" s="15" t="s">
        <v>26</v>
      </c>
      <c r="AM5" s="15" t="s">
        <v>22</v>
      </c>
      <c r="AN5" s="15" t="s">
        <v>29</v>
      </c>
    </row>
    <row r="6" spans="2:40" x14ac:dyDescent="0.35">
      <c r="B6" s="15" t="s">
        <v>30</v>
      </c>
      <c r="C6" s="15">
        <v>2017</v>
      </c>
      <c r="D6" s="15" t="s">
        <v>36</v>
      </c>
      <c r="E6" s="15">
        <v>133.6</v>
      </c>
      <c r="F6" s="15">
        <v>138.80000000000001</v>
      </c>
      <c r="G6" s="15">
        <v>128.80000000000001</v>
      </c>
      <c r="H6" s="15">
        <v>137.19999999999999</v>
      </c>
      <c r="I6" s="15">
        <v>121.6</v>
      </c>
      <c r="J6" s="15">
        <v>139.69999999999999</v>
      </c>
      <c r="K6" s="15">
        <v>119.7</v>
      </c>
      <c r="L6" s="15">
        <v>148</v>
      </c>
      <c r="M6" s="15">
        <v>135.6</v>
      </c>
      <c r="N6" s="15">
        <f>SUM(E6:M6)</f>
        <v>1203</v>
      </c>
      <c r="O6" s="15">
        <v>134.19999999999999</v>
      </c>
      <c r="P6" s="15">
        <v>130.6</v>
      </c>
      <c r="Q6" s="15">
        <v>119.8</v>
      </c>
      <c r="R6" s="15">
        <v>135.19999999999999</v>
      </c>
      <c r="S6" s="15">
        <v>134.1</v>
      </c>
      <c r="T6" s="15">
        <v>132.80000000000001</v>
      </c>
      <c r="V6" s="15">
        <v>2017</v>
      </c>
      <c r="W6" s="15" t="s">
        <v>36</v>
      </c>
      <c r="X6" s="15" t="str">
        <f t="shared" ref="X6:X68" si="0">_xlfn.CONCAT(W6," ",V6)</f>
        <v>March 2017</v>
      </c>
      <c r="Y6" s="9"/>
      <c r="Z6" s="5"/>
      <c r="AA6" s="5"/>
      <c r="AB6" s="5"/>
      <c r="AC6" s="5"/>
      <c r="AD6" s="5"/>
      <c r="AE6" s="5"/>
      <c r="AG6" s="15" t="s">
        <v>87</v>
      </c>
      <c r="AH6" s="25">
        <f>($N6-$N17)/$N6</f>
        <v>-3.3000831255195193E-2</v>
      </c>
      <c r="AI6" s="25">
        <f>($O6-$O17)/$O6</f>
        <v>-6.1102831594635004E-2</v>
      </c>
      <c r="AJ6" s="25">
        <f>(P$6-P$17)/P$6</f>
        <v>-4.2879019908116343E-2</v>
      </c>
      <c r="AK6" s="25">
        <f>(Q$6-Q$17)/Q$6</f>
        <v>-2.9215358931552589E-2</v>
      </c>
      <c r="AL6" s="25">
        <f>(R$6-R$17)/R$6</f>
        <v>-4.659763313609476E-2</v>
      </c>
      <c r="AM6" s="25">
        <f>(S$6-S$17)/S$6</f>
        <v>-4.3251304996271528E-2</v>
      </c>
      <c r="AN6" s="25">
        <f>(T$6-T$17)/T$6</f>
        <v>-4.2921686746987861E-2</v>
      </c>
    </row>
    <row r="7" spans="2:40" x14ac:dyDescent="0.35">
      <c r="B7" s="15" t="s">
        <v>30</v>
      </c>
      <c r="C7" s="15">
        <v>2017</v>
      </c>
      <c r="D7" s="15" t="s">
        <v>37</v>
      </c>
      <c r="E7" s="15">
        <v>133.19999999999999</v>
      </c>
      <c r="F7" s="15">
        <v>138.69999999999999</v>
      </c>
      <c r="G7" s="15">
        <v>127.1</v>
      </c>
      <c r="H7" s="15">
        <v>137.69999999999999</v>
      </c>
      <c r="I7" s="15">
        <v>121.3</v>
      </c>
      <c r="J7" s="15">
        <v>141.80000000000001</v>
      </c>
      <c r="K7" s="15">
        <v>121.5</v>
      </c>
      <c r="L7" s="15">
        <v>144.5</v>
      </c>
      <c r="M7" s="15">
        <v>134.1</v>
      </c>
      <c r="N7" s="15">
        <f t="shared" ref="N7:N70" si="1">SUM(E7:M7)</f>
        <v>1199.8999999999999</v>
      </c>
      <c r="O7" s="15">
        <v>135</v>
      </c>
      <c r="P7" s="15">
        <v>131</v>
      </c>
      <c r="Q7" s="15">
        <v>119.2</v>
      </c>
      <c r="R7" s="15">
        <v>135.69999999999999</v>
      </c>
      <c r="S7" s="15">
        <v>134.30000000000001</v>
      </c>
      <c r="T7" s="15">
        <v>132.9</v>
      </c>
      <c r="V7" s="15">
        <v>2017</v>
      </c>
      <c r="W7" s="15" t="s">
        <v>37</v>
      </c>
      <c r="X7" s="15" t="str">
        <f t="shared" si="0"/>
        <v>April 2017</v>
      </c>
      <c r="Y7" s="9">
        <f>($N7-$N6)/$N6</f>
        <v>-2.5768911055695232E-3</v>
      </c>
      <c r="Z7" s="9">
        <f>($O7-$O6)/$O6</f>
        <v>5.9612518628912921E-3</v>
      </c>
      <c r="AA7" s="9">
        <f>($P7-$P6)/$P6</f>
        <v>3.0627871362940711E-3</v>
      </c>
      <c r="AB7" s="9">
        <f>($Q7-$Q6)/$Q6</f>
        <v>-5.0083472454089681E-3</v>
      </c>
      <c r="AC7" s="9">
        <f>($R7-$R6)/$R6</f>
        <v>3.6982248520710062E-3</v>
      </c>
      <c r="AD7" s="9">
        <f>($S7-$S6)/$S6</f>
        <v>1.4914243102163837E-3</v>
      </c>
      <c r="AE7" s="9">
        <f>($T7-$T6)/$T6</f>
        <v>7.5301204819272819E-4</v>
      </c>
      <c r="AG7" s="15" t="s">
        <v>88</v>
      </c>
      <c r="AH7" s="25">
        <f>($N29-$N18)/$N18</f>
        <v>-1.7387104564114877E-2</v>
      </c>
      <c r="AI7" s="25">
        <f>($O29-$O18)/$O18</f>
        <v>1.8934081346423683E-2</v>
      </c>
      <c r="AJ7" s="25">
        <f>(P$29-P$18)/P$18</f>
        <v>9.6561814191660697E-2</v>
      </c>
      <c r="AK7" s="25">
        <f>(Q$29-Q$18)/Q$18</f>
        <v>3.6918138041733502E-2</v>
      </c>
      <c r="AL7" s="25">
        <f>(R$29-R$18)/R$18</f>
        <v>8.969866853538902E-2</v>
      </c>
      <c r="AM7" s="25">
        <f>(S$29-S$18)/S$18</f>
        <v>7.2909220872051386E-2</v>
      </c>
      <c r="AN7" s="25">
        <f>(T$29-T$18)/T$18</f>
        <v>1.6582552271088763E-2</v>
      </c>
    </row>
    <row r="8" spans="2:40" x14ac:dyDescent="0.35">
      <c r="B8" s="15" t="s">
        <v>30</v>
      </c>
      <c r="C8" s="15">
        <v>2017</v>
      </c>
      <c r="D8" s="15" t="s">
        <v>38</v>
      </c>
      <c r="E8" s="15">
        <v>133.1</v>
      </c>
      <c r="F8" s="15">
        <v>140.30000000000001</v>
      </c>
      <c r="G8" s="15">
        <v>126.8</v>
      </c>
      <c r="H8" s="15">
        <v>138.19999999999999</v>
      </c>
      <c r="I8" s="15">
        <v>120.8</v>
      </c>
      <c r="J8" s="15">
        <v>140.19999999999999</v>
      </c>
      <c r="K8" s="15">
        <v>123.8</v>
      </c>
      <c r="L8" s="15">
        <v>141.80000000000001</v>
      </c>
      <c r="M8" s="15">
        <v>134</v>
      </c>
      <c r="N8" s="15">
        <f t="shared" si="1"/>
        <v>1198.9999999999998</v>
      </c>
      <c r="O8" s="15">
        <v>135</v>
      </c>
      <c r="P8" s="15">
        <v>131.4</v>
      </c>
      <c r="Q8" s="15">
        <v>119.4</v>
      </c>
      <c r="R8" s="15">
        <v>136.30000000000001</v>
      </c>
      <c r="S8" s="15">
        <v>134.9</v>
      </c>
      <c r="T8" s="15">
        <v>133.30000000000001</v>
      </c>
      <c r="V8" s="15">
        <v>2017</v>
      </c>
      <c r="W8" s="15" t="s">
        <v>38</v>
      </c>
      <c r="X8" s="15" t="str">
        <f t="shared" si="0"/>
        <v>May 2017</v>
      </c>
      <c r="Y8" s="9">
        <f t="shared" ref="Y8:Y71" si="2">($N8-$N7)/$N7</f>
        <v>-7.5006250520884331E-4</v>
      </c>
      <c r="Z8" s="9">
        <f t="shared" ref="Z8:Z71" si="3">($O8-$O7)/$O7</f>
        <v>0</v>
      </c>
      <c r="AA8" s="9">
        <f t="shared" ref="AA8:AA71" si="4">($P8-$P7)/$P7</f>
        <v>3.0534351145038601E-3</v>
      </c>
      <c r="AB8" s="9">
        <f t="shared" ref="AB8:AB71" si="5">($Q8-$Q7)/$Q7</f>
        <v>1.6778523489933124E-3</v>
      </c>
      <c r="AC8" s="9">
        <f t="shared" ref="AC8:AC71" si="6">($R8-$R7)/$R7</f>
        <v>4.4215180545322235E-3</v>
      </c>
      <c r="AD8" s="9">
        <f t="shared" ref="AD8:AD71" si="7">($S8-$S7)/$S7</f>
        <v>4.4676098287415806E-3</v>
      </c>
      <c r="AE8" s="9">
        <f t="shared" ref="AE8:AE71" si="8">($T8-$T7)/$T7</f>
        <v>3.0097817908202084E-3</v>
      </c>
      <c r="AG8" s="15" t="s">
        <v>89</v>
      </c>
      <c r="AH8" s="25">
        <f>($N40-$N30)/$N30</f>
        <v>0.10296284170895377</v>
      </c>
      <c r="AI8" s="25">
        <f>($O40-$O30)/$O30</f>
        <v>4.0300546448087469E-2</v>
      </c>
      <c r="AJ8" s="25">
        <f>(P$40-P$30)/P$30</f>
        <v>3.8563829787233925E-2</v>
      </c>
      <c r="AK8" s="25">
        <f>(Q$40-Q$30)/Q$30</f>
        <v>4.6959199384141601E-2</v>
      </c>
      <c r="AL8" s="25">
        <f>(R$40-R$30)/R$30</f>
        <v>4.1157556270096499E-2</v>
      </c>
      <c r="AM8" s="25">
        <f>(S$40-S$30)/S$30</f>
        <v>1.2000000000000077E-2</v>
      </c>
      <c r="AN8" s="25">
        <f>(T$40-T$30)/T$30</f>
        <v>6.5155807365439217E-2</v>
      </c>
    </row>
    <row r="9" spans="2:40" x14ac:dyDescent="0.35">
      <c r="B9" s="15" t="s">
        <v>30</v>
      </c>
      <c r="C9" s="15">
        <v>2017</v>
      </c>
      <c r="D9" s="15" t="s">
        <v>39</v>
      </c>
      <c r="E9" s="15">
        <v>133.5</v>
      </c>
      <c r="F9" s="15">
        <v>143.69999999999999</v>
      </c>
      <c r="G9" s="15">
        <v>128</v>
      </c>
      <c r="H9" s="15">
        <v>138.6</v>
      </c>
      <c r="I9" s="15">
        <v>120.9</v>
      </c>
      <c r="J9" s="15">
        <v>140.9</v>
      </c>
      <c r="K9" s="15">
        <v>128.80000000000001</v>
      </c>
      <c r="L9" s="15">
        <v>140.19999999999999</v>
      </c>
      <c r="M9" s="15">
        <v>133.5</v>
      </c>
      <c r="N9" s="15">
        <f t="shared" si="1"/>
        <v>1208.0999999999999</v>
      </c>
      <c r="O9" s="15">
        <v>134.80000000000001</v>
      </c>
      <c r="P9" s="15">
        <v>131.30000000000001</v>
      </c>
      <c r="Q9" s="15">
        <v>119.4</v>
      </c>
      <c r="R9" s="15">
        <v>136.9</v>
      </c>
      <c r="S9" s="15">
        <v>135.19999999999999</v>
      </c>
      <c r="T9" s="15">
        <v>133.9</v>
      </c>
      <c r="V9" s="15">
        <v>2017</v>
      </c>
      <c r="W9" s="15" t="s">
        <v>39</v>
      </c>
      <c r="X9" s="15" t="str">
        <f t="shared" si="0"/>
        <v>June 2017</v>
      </c>
      <c r="Y9" s="9">
        <f t="shared" si="2"/>
        <v>7.5896580483737599E-3</v>
      </c>
      <c r="Z9" s="9">
        <f t="shared" si="3"/>
        <v>-1.4814814814813973E-3</v>
      </c>
      <c r="AA9" s="9">
        <f t="shared" si="4"/>
        <v>-7.6103500761030677E-4</v>
      </c>
      <c r="AB9" s="9">
        <f t="shared" si="5"/>
        <v>0</v>
      </c>
      <c r="AC9" s="9">
        <f t="shared" si="6"/>
        <v>4.4020542920028922E-3</v>
      </c>
      <c r="AD9" s="9">
        <f t="shared" si="7"/>
        <v>2.2238695329872714E-3</v>
      </c>
      <c r="AE9" s="9">
        <f t="shared" si="8"/>
        <v>4.5011252813202873E-3</v>
      </c>
      <c r="AG9" s="5"/>
      <c r="AH9" s="5"/>
      <c r="AI9" s="5"/>
      <c r="AJ9" s="5"/>
      <c r="AK9" s="5"/>
      <c r="AL9" s="5"/>
      <c r="AM9" s="5"/>
      <c r="AN9" s="5"/>
    </row>
    <row r="10" spans="2:40" x14ac:dyDescent="0.35">
      <c r="B10" s="15" t="s">
        <v>30</v>
      </c>
      <c r="C10" s="15">
        <v>2017</v>
      </c>
      <c r="D10" s="15" t="s">
        <v>40</v>
      </c>
      <c r="E10" s="15">
        <v>134</v>
      </c>
      <c r="F10" s="15">
        <v>144.19999999999999</v>
      </c>
      <c r="G10" s="15">
        <v>129.80000000000001</v>
      </c>
      <c r="H10" s="15">
        <v>139</v>
      </c>
      <c r="I10" s="15">
        <v>120.9</v>
      </c>
      <c r="J10" s="15">
        <v>143.9</v>
      </c>
      <c r="K10" s="15">
        <v>151.5</v>
      </c>
      <c r="L10" s="15">
        <v>138.1</v>
      </c>
      <c r="M10" s="15">
        <v>133.9</v>
      </c>
      <c r="N10" s="15">
        <f t="shared" si="1"/>
        <v>1235.3</v>
      </c>
      <c r="O10" s="15">
        <v>135.30000000000001</v>
      </c>
      <c r="P10" s="15">
        <v>132.1</v>
      </c>
      <c r="Q10" s="15">
        <v>119.1</v>
      </c>
      <c r="R10" s="15">
        <v>138.6</v>
      </c>
      <c r="S10" s="15">
        <v>136.1</v>
      </c>
      <c r="T10" s="15">
        <v>136.19999999999999</v>
      </c>
      <c r="V10" s="15">
        <v>2017</v>
      </c>
      <c r="W10" s="15" t="s">
        <v>40</v>
      </c>
      <c r="X10" s="15" t="str">
        <f t="shared" si="0"/>
        <v>July 2017</v>
      </c>
      <c r="Y10" s="9">
        <f t="shared" si="2"/>
        <v>2.2514692492343388E-2</v>
      </c>
      <c r="Z10" s="9">
        <f t="shared" si="3"/>
        <v>3.7091988130563795E-3</v>
      </c>
      <c r="AA10" s="9">
        <f t="shared" si="4"/>
        <v>6.0929169840059621E-3</v>
      </c>
      <c r="AB10" s="9">
        <f t="shared" si="5"/>
        <v>-2.5125628140704468E-3</v>
      </c>
      <c r="AC10" s="9">
        <f t="shared" si="6"/>
        <v>1.2417823228633955E-2</v>
      </c>
      <c r="AD10" s="9">
        <f t="shared" si="7"/>
        <v>6.6568047337278533E-3</v>
      </c>
      <c r="AE10" s="9">
        <f t="shared" si="8"/>
        <v>1.7176997759521903E-2</v>
      </c>
      <c r="AG10" s="15" t="s">
        <v>90</v>
      </c>
      <c r="AH10" s="25">
        <f>($N52-$N41)/$N41</f>
        <v>7.4454525005623606E-2</v>
      </c>
      <c r="AI10" s="25">
        <f>($O52-$O41)/$O41</f>
        <v>6.5189048239895691E-3</v>
      </c>
      <c r="AJ10" s="25">
        <f>(P$52-P$41)/P$41</f>
        <v>4.8500319081046732E-2</v>
      </c>
      <c r="AK10" s="25">
        <f>(Q$52-Q$41)/Q$41</f>
        <v>0.10603829160530173</v>
      </c>
      <c r="AL10" s="25">
        <f>(R$52-R$41)/R$41</f>
        <v>1.4888337468982667E-2</v>
      </c>
      <c r="AM10" s="25">
        <f>(S$52-S$41)/S$41</f>
        <v>2.1782178217821857E-2</v>
      </c>
      <c r="AN10" s="25">
        <f>(T$52-T$41)/T$41</f>
        <v>4.6061415220293569E-2</v>
      </c>
    </row>
    <row r="11" spans="2:40" x14ac:dyDescent="0.35">
      <c r="B11" s="15" t="s">
        <v>30</v>
      </c>
      <c r="C11" s="15">
        <v>2017</v>
      </c>
      <c r="D11" s="15" t="s">
        <v>41</v>
      </c>
      <c r="E11" s="15">
        <v>134.80000000000001</v>
      </c>
      <c r="F11" s="15">
        <v>143.1</v>
      </c>
      <c r="G11" s="15">
        <v>130</v>
      </c>
      <c r="H11" s="15">
        <v>139.4</v>
      </c>
      <c r="I11" s="15">
        <v>120.5</v>
      </c>
      <c r="J11" s="15">
        <v>148</v>
      </c>
      <c r="K11" s="15">
        <v>162.9</v>
      </c>
      <c r="L11" s="15">
        <v>137.4</v>
      </c>
      <c r="M11" s="15">
        <v>134.69999999999999</v>
      </c>
      <c r="N11" s="15">
        <f t="shared" si="1"/>
        <v>1250.8</v>
      </c>
      <c r="O11" s="15">
        <v>136.4</v>
      </c>
      <c r="P11" s="15">
        <v>133</v>
      </c>
      <c r="Q11" s="15">
        <v>120.3</v>
      </c>
      <c r="R11" s="15">
        <v>140.19999999999999</v>
      </c>
      <c r="S11" s="15">
        <v>137.30000000000001</v>
      </c>
      <c r="T11" s="15">
        <v>137.80000000000001</v>
      </c>
      <c r="V11" s="15">
        <v>2017</v>
      </c>
      <c r="W11" s="15" t="s">
        <v>41</v>
      </c>
      <c r="X11" s="15" t="str">
        <f t="shared" si="0"/>
        <v>August 2017</v>
      </c>
      <c r="Y11" s="9">
        <f t="shared" si="2"/>
        <v>1.2547559297336679E-2</v>
      </c>
      <c r="Z11" s="9">
        <f t="shared" si="3"/>
        <v>8.1300813008129656E-3</v>
      </c>
      <c r="AA11" s="9">
        <f t="shared" si="4"/>
        <v>6.8130204390613605E-3</v>
      </c>
      <c r="AB11" s="9">
        <f t="shared" si="5"/>
        <v>1.0075566750629747E-2</v>
      </c>
      <c r="AC11" s="9">
        <f t="shared" si="6"/>
        <v>1.1544011544011504E-2</v>
      </c>
      <c r="AD11" s="9">
        <f t="shared" si="7"/>
        <v>8.817046289493145E-3</v>
      </c>
      <c r="AE11" s="9">
        <f t="shared" si="8"/>
        <v>1.174743024963306E-2</v>
      </c>
      <c r="AG11" s="15" t="s">
        <v>91</v>
      </c>
      <c r="AH11" s="25">
        <f>($N64-$N53)/$N53</f>
        <v>6.219895287958125E-2</v>
      </c>
      <c r="AI11" s="25">
        <f>($O64-$O53)/$O53</f>
        <v>7.3076923076923109E-2</v>
      </c>
      <c r="AJ11" s="25">
        <f>(P$64-P$53)/P$53</f>
        <v>6.5006075334143487E-2</v>
      </c>
      <c r="AK11" s="25">
        <f>(Q$64-Q$53)/Q$53</f>
        <v>6.5432914738929121E-2</v>
      </c>
      <c r="AL11" s="25">
        <f>(R$64-R$53)/R$53</f>
        <v>3.968253968253968E-2</v>
      </c>
      <c r="AM11" s="25">
        <f>(S$64-S$53)/S$53</f>
        <v>7.0413436692506312E-2</v>
      </c>
      <c r="AN11" s="25">
        <f>(T$64-T$53)/T$53</f>
        <v>6.381620931716657E-2</v>
      </c>
    </row>
    <row r="12" spans="2:40" x14ac:dyDescent="0.35">
      <c r="B12" s="15" t="s">
        <v>30</v>
      </c>
      <c r="C12" s="15">
        <v>2017</v>
      </c>
      <c r="D12" s="15" t="s">
        <v>42</v>
      </c>
      <c r="E12" s="15">
        <v>135.19999999999999</v>
      </c>
      <c r="F12" s="15">
        <v>142</v>
      </c>
      <c r="G12" s="15">
        <v>130.5</v>
      </c>
      <c r="H12" s="15">
        <v>140.19999999999999</v>
      </c>
      <c r="I12" s="15">
        <v>120.7</v>
      </c>
      <c r="J12" s="15">
        <v>147.80000000000001</v>
      </c>
      <c r="K12" s="15">
        <v>154.5</v>
      </c>
      <c r="L12" s="15">
        <v>137.1</v>
      </c>
      <c r="M12" s="15">
        <v>134.69999999999999</v>
      </c>
      <c r="N12" s="15">
        <f t="shared" si="1"/>
        <v>1242.7</v>
      </c>
      <c r="O12" s="15">
        <v>137.4</v>
      </c>
      <c r="P12" s="15">
        <v>133.4</v>
      </c>
      <c r="Q12" s="15">
        <v>121.2</v>
      </c>
      <c r="R12" s="15">
        <v>139.6</v>
      </c>
      <c r="S12" s="15">
        <v>137.9</v>
      </c>
      <c r="T12" s="15">
        <v>137.6</v>
      </c>
      <c r="V12" s="15">
        <v>2017</v>
      </c>
      <c r="W12" s="15" t="s">
        <v>42</v>
      </c>
      <c r="X12" s="15" t="str">
        <f t="shared" si="0"/>
        <v>September 2017</v>
      </c>
      <c r="Y12" s="9">
        <f t="shared" si="2"/>
        <v>-6.4758554525103209E-3</v>
      </c>
      <c r="Z12" s="9">
        <f t="shared" si="3"/>
        <v>7.3313782991202342E-3</v>
      </c>
      <c r="AA12" s="9">
        <f t="shared" si="4"/>
        <v>3.0075187969925239E-3</v>
      </c>
      <c r="AB12" s="9">
        <f t="shared" si="5"/>
        <v>7.4812967581047857E-3</v>
      </c>
      <c r="AC12" s="9">
        <f t="shared" si="6"/>
        <v>-4.2796005706133696E-3</v>
      </c>
      <c r="AD12" s="9">
        <f t="shared" si="7"/>
        <v>4.3699927166787637E-3</v>
      </c>
      <c r="AE12" s="9">
        <f t="shared" si="8"/>
        <v>-1.4513788098694995E-3</v>
      </c>
      <c r="AG12" s="15" t="s">
        <v>92</v>
      </c>
      <c r="AH12" s="25">
        <f>($N65-$N76)/$N65</f>
        <v>-3.7844481821710289E-2</v>
      </c>
      <c r="AI12" s="25">
        <f>($O65-$O76)/$O65</f>
        <v>-7.5192421551213667E-2</v>
      </c>
      <c r="AJ12" s="25">
        <f>(P$65-P$76)/P$65</f>
        <v>-6.0227272727272692E-2</v>
      </c>
      <c r="AK12" s="25">
        <f>(Q$65-Q$76)/Q$65</f>
        <v>-4.3209876543209874E-2</v>
      </c>
      <c r="AL12" s="25">
        <f>(R$65-R$76)/R$65</f>
        <v>-4.6307151230949625E-2</v>
      </c>
      <c r="AM12" s="25">
        <f>(S$65-S$76)/S$65</f>
        <v>-7.2672672672672634E-2</v>
      </c>
      <c r="AN12" s="25">
        <f>(T$65-T$76)/T$65</f>
        <v>-5.5127445168939013E-2</v>
      </c>
    </row>
    <row r="13" spans="2:40" x14ac:dyDescent="0.35">
      <c r="B13" s="15" t="s">
        <v>30</v>
      </c>
      <c r="C13" s="15">
        <v>2017</v>
      </c>
      <c r="D13" s="15" t="s">
        <v>43</v>
      </c>
      <c r="E13" s="15">
        <v>135.9</v>
      </c>
      <c r="F13" s="15">
        <v>141.9</v>
      </c>
      <c r="G13" s="15">
        <v>131</v>
      </c>
      <c r="H13" s="15">
        <v>141.5</v>
      </c>
      <c r="I13" s="15">
        <v>121.4</v>
      </c>
      <c r="J13" s="15">
        <v>146.69999999999999</v>
      </c>
      <c r="K13" s="15">
        <v>157.1</v>
      </c>
      <c r="L13" s="15">
        <v>136.4</v>
      </c>
      <c r="M13" s="15">
        <v>135.6</v>
      </c>
      <c r="N13" s="15">
        <f t="shared" si="1"/>
        <v>1247.4999999999998</v>
      </c>
      <c r="O13" s="15">
        <v>138.1</v>
      </c>
      <c r="P13" s="15">
        <v>134.19999999999999</v>
      </c>
      <c r="Q13" s="15">
        <v>121</v>
      </c>
      <c r="R13" s="15">
        <v>140.1</v>
      </c>
      <c r="S13" s="15">
        <v>138.4</v>
      </c>
      <c r="T13" s="15">
        <v>138.30000000000001</v>
      </c>
      <c r="V13" s="15">
        <v>2017</v>
      </c>
      <c r="W13" s="15" t="s">
        <v>43</v>
      </c>
      <c r="X13" s="15" t="str">
        <f t="shared" si="0"/>
        <v>October 2017</v>
      </c>
      <c r="Y13" s="9">
        <f t="shared" si="2"/>
        <v>3.8625573348352194E-3</v>
      </c>
      <c r="Z13" s="9">
        <f t="shared" si="3"/>
        <v>5.0946142649198585E-3</v>
      </c>
      <c r="AA13" s="9">
        <f t="shared" si="4"/>
        <v>5.9970014992502471E-3</v>
      </c>
      <c r="AB13" s="9">
        <f t="shared" si="5"/>
        <v>-1.6501650165016736E-3</v>
      </c>
      <c r="AC13" s="9">
        <f t="shared" si="6"/>
        <v>3.5816618911174787E-3</v>
      </c>
      <c r="AD13" s="9">
        <f t="shared" si="7"/>
        <v>3.6258158085569251E-3</v>
      </c>
      <c r="AE13" s="9">
        <f t="shared" si="8"/>
        <v>5.0872093023257058E-3</v>
      </c>
    </row>
    <row r="14" spans="2:40" x14ac:dyDescent="0.35">
      <c r="B14" s="15" t="s">
        <v>30</v>
      </c>
      <c r="C14" s="15">
        <v>2017</v>
      </c>
      <c r="D14" s="15" t="s">
        <v>45</v>
      </c>
      <c r="E14" s="15">
        <v>136.30000000000001</v>
      </c>
      <c r="F14" s="15">
        <v>142.5</v>
      </c>
      <c r="G14" s="15">
        <v>140.5</v>
      </c>
      <c r="H14" s="15">
        <v>141.5</v>
      </c>
      <c r="I14" s="15">
        <v>121.6</v>
      </c>
      <c r="J14" s="15">
        <v>147.30000000000001</v>
      </c>
      <c r="K14" s="15">
        <v>168</v>
      </c>
      <c r="L14" s="15">
        <v>135.80000000000001</v>
      </c>
      <c r="M14" s="15">
        <v>136</v>
      </c>
      <c r="N14" s="15">
        <f t="shared" si="1"/>
        <v>1269.5</v>
      </c>
      <c r="O14" s="15">
        <v>141.1</v>
      </c>
      <c r="P14" s="15">
        <v>135.80000000000001</v>
      </c>
      <c r="Q14" s="15">
        <v>121.6</v>
      </c>
      <c r="R14" s="15">
        <v>141.5</v>
      </c>
      <c r="S14" s="15">
        <v>139.4</v>
      </c>
      <c r="T14" s="15">
        <v>140</v>
      </c>
      <c r="V14" s="15">
        <v>2017</v>
      </c>
      <c r="W14" s="15" t="s">
        <v>45</v>
      </c>
      <c r="X14" s="15" t="str">
        <f t="shared" si="0"/>
        <v>November 2017</v>
      </c>
      <c r="Y14" s="9">
        <f t="shared" si="2"/>
        <v>1.7635270541082351E-2</v>
      </c>
      <c r="Z14" s="9">
        <f t="shared" si="3"/>
        <v>2.1723388848660392E-2</v>
      </c>
      <c r="AA14" s="9">
        <f t="shared" si="4"/>
        <v>1.1922503725782584E-2</v>
      </c>
      <c r="AB14" s="9">
        <f t="shared" si="5"/>
        <v>4.9586776859503658E-3</v>
      </c>
      <c r="AC14" s="9">
        <f t="shared" si="6"/>
        <v>9.9928622412562857E-3</v>
      </c>
      <c r="AD14" s="9">
        <f t="shared" si="7"/>
        <v>7.2254335260115606E-3</v>
      </c>
      <c r="AE14" s="9">
        <f t="shared" si="8"/>
        <v>1.229211858279095E-2</v>
      </c>
    </row>
    <row r="15" spans="2:40" x14ac:dyDescent="0.35">
      <c r="B15" s="15" t="s">
        <v>30</v>
      </c>
      <c r="C15" s="15">
        <v>2017</v>
      </c>
      <c r="D15" s="15" t="s">
        <v>46</v>
      </c>
      <c r="E15" s="15">
        <v>136.4</v>
      </c>
      <c r="F15" s="15">
        <v>143.69999999999999</v>
      </c>
      <c r="G15" s="15">
        <v>144.80000000000001</v>
      </c>
      <c r="H15" s="15">
        <v>141.9</v>
      </c>
      <c r="I15" s="15">
        <v>123.1</v>
      </c>
      <c r="J15" s="15">
        <v>147.19999999999999</v>
      </c>
      <c r="K15" s="15">
        <v>161</v>
      </c>
      <c r="L15" s="15">
        <v>133.80000000000001</v>
      </c>
      <c r="M15" s="15">
        <v>135.80000000000001</v>
      </c>
      <c r="N15" s="15">
        <f t="shared" si="1"/>
        <v>1267.7</v>
      </c>
      <c r="O15" s="15">
        <v>142.6</v>
      </c>
      <c r="P15" s="15">
        <v>136.1</v>
      </c>
      <c r="Q15" s="15">
        <v>122</v>
      </c>
      <c r="R15" s="15">
        <v>141.1</v>
      </c>
      <c r="S15" s="15">
        <v>139.5</v>
      </c>
      <c r="T15" s="15">
        <v>139.80000000000001</v>
      </c>
      <c r="V15" s="15">
        <v>2017</v>
      </c>
      <c r="W15" s="15" t="s">
        <v>46</v>
      </c>
      <c r="X15" s="15" t="str">
        <f t="shared" si="0"/>
        <v>December 2017</v>
      </c>
      <c r="Y15" s="9">
        <f t="shared" si="2"/>
        <v>-1.4178810555336388E-3</v>
      </c>
      <c r="Z15" s="9">
        <f t="shared" si="3"/>
        <v>1.0630758327427357E-2</v>
      </c>
      <c r="AA15" s="9">
        <f t="shared" si="4"/>
        <v>2.2091310751103307E-3</v>
      </c>
      <c r="AB15" s="9">
        <f t="shared" si="5"/>
        <v>3.2894736842105734E-3</v>
      </c>
      <c r="AC15" s="9">
        <f t="shared" si="6"/>
        <v>-2.8268551236749519E-3</v>
      </c>
      <c r="AD15" s="9">
        <f t="shared" si="7"/>
        <v>7.1736011477757753E-4</v>
      </c>
      <c r="AE15" s="9">
        <f t="shared" si="8"/>
        <v>-1.4285714285713475E-3</v>
      </c>
    </row>
    <row r="16" spans="2:40" x14ac:dyDescent="0.35">
      <c r="B16" s="15" t="s">
        <v>30</v>
      </c>
      <c r="C16" s="15">
        <v>2018</v>
      </c>
      <c r="D16" s="15" t="s">
        <v>31</v>
      </c>
      <c r="E16" s="15">
        <v>136.6</v>
      </c>
      <c r="F16" s="15">
        <v>144.4</v>
      </c>
      <c r="G16" s="15">
        <v>143.80000000000001</v>
      </c>
      <c r="H16" s="15">
        <v>142</v>
      </c>
      <c r="I16" s="15">
        <v>123.2</v>
      </c>
      <c r="J16" s="15">
        <v>147.9</v>
      </c>
      <c r="K16" s="15">
        <v>152.1</v>
      </c>
      <c r="L16" s="15">
        <v>131.80000000000001</v>
      </c>
      <c r="M16" s="15">
        <v>136</v>
      </c>
      <c r="N16" s="15">
        <f t="shared" si="1"/>
        <v>1257.8</v>
      </c>
      <c r="O16" s="15">
        <v>142.30000000000001</v>
      </c>
      <c r="P16" s="15">
        <v>136</v>
      </c>
      <c r="Q16" s="15">
        <v>122.7</v>
      </c>
      <c r="R16" s="15">
        <v>141.6</v>
      </c>
      <c r="S16" s="15">
        <v>139.80000000000001</v>
      </c>
      <c r="T16" s="15">
        <v>139.30000000000001</v>
      </c>
      <c r="V16" s="15">
        <v>2018</v>
      </c>
      <c r="W16" s="15" t="s">
        <v>31</v>
      </c>
      <c r="X16" s="15" t="str">
        <f t="shared" si="0"/>
        <v>January 2018</v>
      </c>
      <c r="Y16" s="9">
        <f t="shared" si="2"/>
        <v>-7.8094186321685652E-3</v>
      </c>
      <c r="Z16" s="9">
        <f t="shared" si="3"/>
        <v>-2.1037868162691654E-3</v>
      </c>
      <c r="AA16" s="9">
        <f t="shared" si="4"/>
        <v>-7.3475385745770997E-4</v>
      </c>
      <c r="AB16" s="9">
        <f t="shared" si="5"/>
        <v>5.7377049180328101E-3</v>
      </c>
      <c r="AC16" s="9">
        <f t="shared" si="6"/>
        <v>3.5435861091424525E-3</v>
      </c>
      <c r="AD16" s="9">
        <f t="shared" si="7"/>
        <v>2.1505376344086837E-3</v>
      </c>
      <c r="AE16" s="9">
        <f t="shared" si="8"/>
        <v>-3.5765379113018594E-3</v>
      </c>
    </row>
    <row r="17" spans="2:31" x14ac:dyDescent="0.35">
      <c r="B17" s="15" t="s">
        <v>30</v>
      </c>
      <c r="C17" s="15">
        <v>2018</v>
      </c>
      <c r="D17" s="15" t="s">
        <v>35</v>
      </c>
      <c r="E17" s="15">
        <v>136.4</v>
      </c>
      <c r="F17" s="15">
        <v>143.69999999999999</v>
      </c>
      <c r="G17" s="15">
        <v>140.6</v>
      </c>
      <c r="H17" s="15">
        <v>141.5</v>
      </c>
      <c r="I17" s="15">
        <v>122.9</v>
      </c>
      <c r="J17" s="15">
        <v>149.4</v>
      </c>
      <c r="K17" s="15">
        <v>142.4</v>
      </c>
      <c r="L17" s="15">
        <v>130.19999999999999</v>
      </c>
      <c r="M17" s="15">
        <v>135.6</v>
      </c>
      <c r="N17" s="15">
        <f t="shared" si="1"/>
        <v>1242.6999999999998</v>
      </c>
      <c r="O17" s="15">
        <v>142.4</v>
      </c>
      <c r="P17" s="15">
        <v>136.19999999999999</v>
      </c>
      <c r="Q17" s="15">
        <v>123.3</v>
      </c>
      <c r="R17" s="15">
        <v>141.5</v>
      </c>
      <c r="S17" s="15">
        <v>139.9</v>
      </c>
      <c r="T17" s="15">
        <v>138.5</v>
      </c>
      <c r="V17" s="15">
        <v>2018</v>
      </c>
      <c r="W17" s="15" t="s">
        <v>35</v>
      </c>
      <c r="X17" s="15" t="str">
        <f t="shared" si="0"/>
        <v>February 2018</v>
      </c>
      <c r="Y17" s="9">
        <f t="shared" si="2"/>
        <v>-1.2005088249324326E-2</v>
      </c>
      <c r="Z17" s="9">
        <f t="shared" si="3"/>
        <v>7.0274068868583491E-4</v>
      </c>
      <c r="AA17" s="9">
        <f t="shared" si="4"/>
        <v>1.4705882352940341E-3</v>
      </c>
      <c r="AB17" s="9">
        <f t="shared" si="5"/>
        <v>4.8899755501222025E-3</v>
      </c>
      <c r="AC17" s="9">
        <f t="shared" si="6"/>
        <v>-7.0621468926549661E-4</v>
      </c>
      <c r="AD17" s="9">
        <f t="shared" si="7"/>
        <v>7.1530758226033119E-4</v>
      </c>
      <c r="AE17" s="9">
        <f t="shared" si="8"/>
        <v>-5.7430007178751706E-3</v>
      </c>
    </row>
    <row r="18" spans="2:31" x14ac:dyDescent="0.35">
      <c r="B18" s="15" t="s">
        <v>30</v>
      </c>
      <c r="C18" s="15">
        <v>2018</v>
      </c>
      <c r="D18" s="15" t="s">
        <v>36</v>
      </c>
      <c r="E18" s="15">
        <v>136.80000000000001</v>
      </c>
      <c r="F18" s="15">
        <v>143.80000000000001</v>
      </c>
      <c r="G18" s="15">
        <v>140</v>
      </c>
      <c r="H18" s="15">
        <v>142</v>
      </c>
      <c r="I18" s="15">
        <v>123.2</v>
      </c>
      <c r="J18" s="15">
        <v>152.9</v>
      </c>
      <c r="K18" s="15">
        <v>138</v>
      </c>
      <c r="L18" s="15">
        <v>129.30000000000001</v>
      </c>
      <c r="M18" s="15">
        <v>136.30000000000001</v>
      </c>
      <c r="N18" s="15">
        <f t="shared" si="1"/>
        <v>1242.3</v>
      </c>
      <c r="O18" s="15">
        <v>142.6</v>
      </c>
      <c r="P18" s="15">
        <v>136.69999999999999</v>
      </c>
      <c r="Q18" s="15">
        <v>124.6</v>
      </c>
      <c r="R18" s="15">
        <v>142.69999999999999</v>
      </c>
      <c r="S18" s="15">
        <v>139.9</v>
      </c>
      <c r="T18" s="15">
        <v>138.69999999999999</v>
      </c>
      <c r="V18" s="15">
        <v>2018</v>
      </c>
      <c r="W18" s="15" t="s">
        <v>36</v>
      </c>
      <c r="X18" s="15" t="str">
        <f t="shared" si="0"/>
        <v>March 2018</v>
      </c>
      <c r="Y18" s="9">
        <f t="shared" si="2"/>
        <v>-3.218797779028435E-4</v>
      </c>
      <c r="Z18" s="9">
        <f t="shared" si="3"/>
        <v>1.4044943820223921E-3</v>
      </c>
      <c r="AA18" s="9">
        <f t="shared" si="4"/>
        <v>3.6710719530102793E-3</v>
      </c>
      <c r="AB18" s="9">
        <f t="shared" si="5"/>
        <v>1.0543390105433878E-2</v>
      </c>
      <c r="AC18" s="9">
        <f t="shared" si="6"/>
        <v>8.4805653710246544E-3</v>
      </c>
      <c r="AD18" s="9">
        <f t="shared" si="7"/>
        <v>0</v>
      </c>
      <c r="AE18" s="9">
        <f t="shared" si="8"/>
        <v>1.4440433212995569E-3</v>
      </c>
    </row>
    <row r="19" spans="2:31" x14ac:dyDescent="0.35">
      <c r="B19" s="15" t="s">
        <v>30</v>
      </c>
      <c r="C19" s="15">
        <v>2018</v>
      </c>
      <c r="D19" s="15" t="s">
        <v>37</v>
      </c>
      <c r="E19" s="15">
        <v>137.1</v>
      </c>
      <c r="F19" s="15">
        <v>144.5</v>
      </c>
      <c r="G19" s="15">
        <v>135.9</v>
      </c>
      <c r="H19" s="15">
        <v>142.4</v>
      </c>
      <c r="I19" s="15">
        <v>123.5</v>
      </c>
      <c r="J19" s="15">
        <v>156.4</v>
      </c>
      <c r="K19" s="15">
        <v>135.1</v>
      </c>
      <c r="L19" s="15">
        <v>128.4</v>
      </c>
      <c r="M19" s="15">
        <v>137.19999999999999</v>
      </c>
      <c r="N19" s="15">
        <f t="shared" si="1"/>
        <v>1240.5</v>
      </c>
      <c r="O19" s="15">
        <v>143.80000000000001</v>
      </c>
      <c r="P19" s="15">
        <v>137.6</v>
      </c>
      <c r="Q19" s="15">
        <v>125.3</v>
      </c>
      <c r="R19" s="15">
        <v>143.69999999999999</v>
      </c>
      <c r="S19" s="15">
        <v>140.9</v>
      </c>
      <c r="T19" s="15">
        <v>139.1</v>
      </c>
      <c r="V19" s="15">
        <v>2018</v>
      </c>
      <c r="W19" s="15" t="s">
        <v>37</v>
      </c>
      <c r="X19" s="15" t="str">
        <f t="shared" si="0"/>
        <v>April 2018</v>
      </c>
      <c r="Y19" s="9">
        <f t="shared" si="2"/>
        <v>-1.4489253803428757E-3</v>
      </c>
      <c r="Z19" s="9">
        <f t="shared" si="3"/>
        <v>8.4151472650772583E-3</v>
      </c>
      <c r="AA19" s="9">
        <f t="shared" si="4"/>
        <v>6.5837600585223538E-3</v>
      </c>
      <c r="AB19" s="9">
        <f t="shared" si="5"/>
        <v>5.6179775280899109E-3</v>
      </c>
      <c r="AC19" s="9">
        <f t="shared" si="6"/>
        <v>7.0077084793272607E-3</v>
      </c>
      <c r="AD19" s="9">
        <f t="shared" si="7"/>
        <v>7.1479628305932807E-3</v>
      </c>
      <c r="AE19" s="9">
        <f t="shared" si="8"/>
        <v>2.8839221341024203E-3</v>
      </c>
    </row>
    <row r="20" spans="2:31" x14ac:dyDescent="0.35">
      <c r="B20" s="15" t="s">
        <v>30</v>
      </c>
      <c r="C20" s="15">
        <v>2018</v>
      </c>
      <c r="D20" s="15" t="s">
        <v>38</v>
      </c>
      <c r="E20" s="15">
        <v>137.4</v>
      </c>
      <c r="F20" s="15">
        <v>145.69999999999999</v>
      </c>
      <c r="G20" s="15">
        <v>135.5</v>
      </c>
      <c r="H20" s="15">
        <v>142.9</v>
      </c>
      <c r="I20" s="15">
        <v>123.6</v>
      </c>
      <c r="J20" s="15">
        <v>157.5</v>
      </c>
      <c r="K20" s="15">
        <v>137.80000000000001</v>
      </c>
      <c r="L20" s="15">
        <v>127.2</v>
      </c>
      <c r="M20" s="15">
        <v>137.4</v>
      </c>
      <c r="N20" s="15">
        <f t="shared" si="1"/>
        <v>1245.0000000000002</v>
      </c>
      <c r="O20" s="15">
        <v>144.30000000000001</v>
      </c>
      <c r="P20" s="15">
        <v>138.4</v>
      </c>
      <c r="Q20" s="15">
        <v>126.4</v>
      </c>
      <c r="R20" s="15">
        <v>144.4</v>
      </c>
      <c r="S20" s="15">
        <v>141.80000000000001</v>
      </c>
      <c r="T20" s="15">
        <v>139.80000000000001</v>
      </c>
      <c r="V20" s="15">
        <v>2018</v>
      </c>
      <c r="W20" s="15" t="s">
        <v>38</v>
      </c>
      <c r="X20" s="15" t="str">
        <f t="shared" si="0"/>
        <v>May 2018</v>
      </c>
      <c r="Y20" s="9">
        <f t="shared" si="2"/>
        <v>3.6275695284161448E-3</v>
      </c>
      <c r="Z20" s="9">
        <f t="shared" si="3"/>
        <v>3.4770514603616131E-3</v>
      </c>
      <c r="AA20" s="9">
        <f t="shared" si="4"/>
        <v>5.8139534883721762E-3</v>
      </c>
      <c r="AB20" s="9">
        <f t="shared" si="5"/>
        <v>8.7789305666401314E-3</v>
      </c>
      <c r="AC20" s="9">
        <f t="shared" si="6"/>
        <v>4.8712595685457003E-3</v>
      </c>
      <c r="AD20" s="9">
        <f t="shared" si="7"/>
        <v>6.3875088715401396E-3</v>
      </c>
      <c r="AE20" s="9">
        <f t="shared" si="8"/>
        <v>5.0323508267434728E-3</v>
      </c>
    </row>
    <row r="21" spans="2:31" x14ac:dyDescent="0.35">
      <c r="B21" s="15" t="s">
        <v>30</v>
      </c>
      <c r="C21" s="15">
        <v>2018</v>
      </c>
      <c r="D21" s="15" t="s">
        <v>39</v>
      </c>
      <c r="E21" s="15">
        <v>137.6</v>
      </c>
      <c r="F21" s="15">
        <v>148.1</v>
      </c>
      <c r="G21" s="15">
        <v>136.69999999999999</v>
      </c>
      <c r="H21" s="15">
        <v>143.19999999999999</v>
      </c>
      <c r="I21" s="15">
        <v>124</v>
      </c>
      <c r="J21" s="15">
        <v>154.1</v>
      </c>
      <c r="K21" s="15">
        <v>143.5</v>
      </c>
      <c r="L21" s="15">
        <v>126</v>
      </c>
      <c r="M21" s="15">
        <v>137.6</v>
      </c>
      <c r="N21" s="15">
        <f t="shared" si="1"/>
        <v>1250.7999999999997</v>
      </c>
      <c r="O21" s="15">
        <v>145.1</v>
      </c>
      <c r="P21" s="15">
        <v>138.4</v>
      </c>
      <c r="Q21" s="15">
        <v>127.4</v>
      </c>
      <c r="R21" s="15">
        <v>145.1</v>
      </c>
      <c r="S21" s="15">
        <v>142.19999999999999</v>
      </c>
      <c r="T21" s="15">
        <v>140.5</v>
      </c>
      <c r="V21" s="15">
        <v>2018</v>
      </c>
      <c r="W21" s="15" t="s">
        <v>39</v>
      </c>
      <c r="X21" s="15" t="str">
        <f t="shared" si="0"/>
        <v>June 2018</v>
      </c>
      <c r="Y21" s="9">
        <f t="shared" si="2"/>
        <v>4.6586345381522077E-3</v>
      </c>
      <c r="Z21" s="9">
        <f t="shared" si="3"/>
        <v>5.5440055440054252E-3</v>
      </c>
      <c r="AA21" s="9">
        <f t="shared" si="4"/>
        <v>0</v>
      </c>
      <c r="AB21" s="9">
        <f t="shared" si="5"/>
        <v>7.9113924050632899E-3</v>
      </c>
      <c r="AC21" s="9">
        <f t="shared" si="6"/>
        <v>4.8476454293628016E-3</v>
      </c>
      <c r="AD21" s="9">
        <f t="shared" si="7"/>
        <v>2.8208744710858762E-3</v>
      </c>
      <c r="AE21" s="9">
        <f t="shared" si="8"/>
        <v>5.0071530758225222E-3</v>
      </c>
    </row>
    <row r="22" spans="2:31" x14ac:dyDescent="0.35">
      <c r="B22" s="15" t="s">
        <v>30</v>
      </c>
      <c r="C22" s="15">
        <v>2018</v>
      </c>
      <c r="D22" s="15" t="s">
        <v>40</v>
      </c>
      <c r="E22" s="15">
        <v>138.4</v>
      </c>
      <c r="F22" s="15">
        <v>149.30000000000001</v>
      </c>
      <c r="G22" s="15">
        <v>139.30000000000001</v>
      </c>
      <c r="H22" s="15">
        <v>143.4</v>
      </c>
      <c r="I22" s="15">
        <v>124.1</v>
      </c>
      <c r="J22" s="15">
        <v>153.30000000000001</v>
      </c>
      <c r="K22" s="15">
        <v>154.19999999999999</v>
      </c>
      <c r="L22" s="15">
        <v>126.4</v>
      </c>
      <c r="M22" s="15">
        <v>138.19999999999999</v>
      </c>
      <c r="N22" s="15">
        <f t="shared" si="1"/>
        <v>1266.6000000000004</v>
      </c>
      <c r="O22" s="15">
        <v>146.80000000000001</v>
      </c>
      <c r="P22" s="15">
        <v>139</v>
      </c>
      <c r="Q22" s="15">
        <v>127.5</v>
      </c>
      <c r="R22" s="15">
        <v>145.80000000000001</v>
      </c>
      <c r="S22" s="15">
        <v>143.1</v>
      </c>
      <c r="T22" s="15">
        <v>141.80000000000001</v>
      </c>
      <c r="V22" s="15">
        <v>2018</v>
      </c>
      <c r="W22" s="15" t="s">
        <v>40</v>
      </c>
      <c r="X22" s="15" t="str">
        <f t="shared" si="0"/>
        <v>July 2018</v>
      </c>
      <c r="Y22" s="9">
        <f t="shared" si="2"/>
        <v>1.2631915574033131E-2</v>
      </c>
      <c r="Z22" s="9">
        <f t="shared" si="3"/>
        <v>1.1716057891109698E-2</v>
      </c>
      <c r="AA22" s="9">
        <f t="shared" si="4"/>
        <v>4.3352601156068952E-3</v>
      </c>
      <c r="AB22" s="9">
        <f t="shared" si="5"/>
        <v>7.8492935635788316E-4</v>
      </c>
      <c r="AC22" s="9">
        <f t="shared" si="6"/>
        <v>4.8242591316334741E-3</v>
      </c>
      <c r="AD22" s="9">
        <f t="shared" si="7"/>
        <v>6.3291139240506736E-3</v>
      </c>
      <c r="AE22" s="9">
        <f t="shared" si="8"/>
        <v>9.2526690391459884E-3</v>
      </c>
    </row>
    <row r="23" spans="2:31" x14ac:dyDescent="0.35">
      <c r="B23" s="15" t="s">
        <v>30</v>
      </c>
      <c r="C23" s="15">
        <v>2018</v>
      </c>
      <c r="D23" s="15" t="s">
        <v>41</v>
      </c>
      <c r="E23" s="15">
        <v>139.19999999999999</v>
      </c>
      <c r="F23" s="15">
        <v>148.80000000000001</v>
      </c>
      <c r="G23" s="15">
        <v>139.1</v>
      </c>
      <c r="H23" s="15">
        <v>143.5</v>
      </c>
      <c r="I23" s="15">
        <v>125</v>
      </c>
      <c r="J23" s="15">
        <v>154.4</v>
      </c>
      <c r="K23" s="15">
        <v>156.30000000000001</v>
      </c>
      <c r="L23" s="15">
        <v>126.8</v>
      </c>
      <c r="M23" s="15">
        <v>138.6</v>
      </c>
      <c r="N23" s="15">
        <f t="shared" si="1"/>
        <v>1271.6999999999998</v>
      </c>
      <c r="O23" s="15">
        <v>147.69999999999999</v>
      </c>
      <c r="P23" s="15">
        <v>139.4</v>
      </c>
      <c r="Q23" s="15">
        <v>128.30000000000001</v>
      </c>
      <c r="R23" s="15">
        <v>146.9</v>
      </c>
      <c r="S23" s="15">
        <v>143.80000000000001</v>
      </c>
      <c r="T23" s="15">
        <v>142.5</v>
      </c>
      <c r="V23" s="15">
        <v>2018</v>
      </c>
      <c r="W23" s="15" t="s">
        <v>41</v>
      </c>
      <c r="X23" s="15" t="str">
        <f t="shared" si="0"/>
        <v>August 2018</v>
      </c>
      <c r="Y23" s="9">
        <f t="shared" si="2"/>
        <v>4.0265277119844092E-3</v>
      </c>
      <c r="Z23" s="9">
        <f t="shared" si="3"/>
        <v>6.1307901907355399E-3</v>
      </c>
      <c r="AA23" s="9">
        <f t="shared" si="4"/>
        <v>2.8776978417266595E-3</v>
      </c>
      <c r="AB23" s="9">
        <f t="shared" si="5"/>
        <v>6.2745098039216577E-3</v>
      </c>
      <c r="AC23" s="9">
        <f t="shared" si="6"/>
        <v>7.5445816186556535E-3</v>
      </c>
      <c r="AD23" s="9">
        <f t="shared" si="7"/>
        <v>4.8916841369672755E-3</v>
      </c>
      <c r="AE23" s="9">
        <f t="shared" si="8"/>
        <v>4.9365303244004836E-3</v>
      </c>
    </row>
    <row r="24" spans="2:31" x14ac:dyDescent="0.35">
      <c r="B24" s="15" t="s">
        <v>30</v>
      </c>
      <c r="C24" s="15">
        <v>2018</v>
      </c>
      <c r="D24" s="15" t="s">
        <v>42</v>
      </c>
      <c r="E24" s="15">
        <v>139.4</v>
      </c>
      <c r="F24" s="15">
        <v>147.19999999999999</v>
      </c>
      <c r="G24" s="15">
        <v>136.6</v>
      </c>
      <c r="H24" s="15">
        <v>143.69999999999999</v>
      </c>
      <c r="I24" s="15">
        <v>124.6</v>
      </c>
      <c r="J24" s="15">
        <v>150.1</v>
      </c>
      <c r="K24" s="15">
        <v>149.4</v>
      </c>
      <c r="L24" s="15">
        <v>125.4</v>
      </c>
      <c r="M24" s="15">
        <v>138.69999999999999</v>
      </c>
      <c r="N24" s="15">
        <f t="shared" si="1"/>
        <v>1255.1000000000001</v>
      </c>
      <c r="O24" s="15">
        <v>149</v>
      </c>
      <c r="P24" s="15">
        <v>140</v>
      </c>
      <c r="Q24" s="15">
        <v>129.9</v>
      </c>
      <c r="R24" s="15">
        <v>147.6</v>
      </c>
      <c r="S24" s="15">
        <v>144</v>
      </c>
      <c r="T24" s="15">
        <v>142.1</v>
      </c>
      <c r="V24" s="15">
        <v>2018</v>
      </c>
      <c r="W24" s="15" t="s">
        <v>42</v>
      </c>
      <c r="X24" s="15" t="str">
        <f t="shared" si="0"/>
        <v>September 2018</v>
      </c>
      <c r="Y24" s="9">
        <f t="shared" si="2"/>
        <v>-1.3053393095855693E-2</v>
      </c>
      <c r="Z24" s="9">
        <f t="shared" si="3"/>
        <v>8.8016249153690697E-3</v>
      </c>
      <c r="AA24" s="9">
        <f t="shared" si="4"/>
        <v>4.3041606886656692E-3</v>
      </c>
      <c r="AB24" s="9">
        <f t="shared" si="5"/>
        <v>1.2470771628994499E-2</v>
      </c>
      <c r="AC24" s="9">
        <f t="shared" si="6"/>
        <v>4.7651463580666341E-3</v>
      </c>
      <c r="AD24" s="9">
        <f t="shared" si="7"/>
        <v>1.3908205841445661E-3</v>
      </c>
      <c r="AE24" s="9">
        <f t="shared" si="8"/>
        <v>-2.8070175438596888E-3</v>
      </c>
    </row>
    <row r="25" spans="2:31" x14ac:dyDescent="0.35">
      <c r="B25" s="15" t="s">
        <v>30</v>
      </c>
      <c r="C25" s="15">
        <v>2018</v>
      </c>
      <c r="D25" s="15" t="s">
        <v>43</v>
      </c>
      <c r="E25" s="15">
        <v>139.30000000000001</v>
      </c>
      <c r="F25" s="15">
        <v>147.6</v>
      </c>
      <c r="G25" s="15">
        <v>134.6</v>
      </c>
      <c r="H25" s="15">
        <v>141.9</v>
      </c>
      <c r="I25" s="15">
        <v>123.5</v>
      </c>
      <c r="J25" s="15">
        <v>144.5</v>
      </c>
      <c r="K25" s="15">
        <v>147.6</v>
      </c>
      <c r="L25" s="15">
        <v>121.4</v>
      </c>
      <c r="M25" s="15">
        <v>139.5</v>
      </c>
      <c r="N25" s="15">
        <f t="shared" si="1"/>
        <v>1239.9000000000001</v>
      </c>
      <c r="O25" s="15">
        <v>149.69999999999999</v>
      </c>
      <c r="P25" s="15">
        <v>144.80000000000001</v>
      </c>
      <c r="Q25" s="15">
        <v>130.80000000000001</v>
      </c>
      <c r="R25" s="15">
        <v>148</v>
      </c>
      <c r="S25" s="15">
        <v>147.5</v>
      </c>
      <c r="T25" s="15">
        <v>142.19999999999999</v>
      </c>
      <c r="V25" s="15">
        <v>2018</v>
      </c>
      <c r="W25" s="15" t="s">
        <v>43</v>
      </c>
      <c r="X25" s="15" t="str">
        <f t="shared" si="0"/>
        <v>October 2018</v>
      </c>
      <c r="Y25" s="9">
        <f t="shared" si="2"/>
        <v>-1.2110588797705397E-2</v>
      </c>
      <c r="Z25" s="9">
        <f t="shared" si="3"/>
        <v>4.6979865771811314E-3</v>
      </c>
      <c r="AA25" s="9">
        <f t="shared" si="4"/>
        <v>3.4285714285714364E-2</v>
      </c>
      <c r="AB25" s="9">
        <f t="shared" si="5"/>
        <v>6.9284064665127458E-3</v>
      </c>
      <c r="AC25" s="9">
        <f t="shared" si="6"/>
        <v>2.7100271002710413E-3</v>
      </c>
      <c r="AD25" s="9">
        <f t="shared" si="7"/>
        <v>2.4305555555555556E-2</v>
      </c>
      <c r="AE25" s="9">
        <f t="shared" si="8"/>
        <v>7.0372976776913662E-4</v>
      </c>
    </row>
    <row r="26" spans="2:31" x14ac:dyDescent="0.35">
      <c r="B26" s="15" t="s">
        <v>30</v>
      </c>
      <c r="C26" s="15">
        <v>2018</v>
      </c>
      <c r="D26" s="15" t="s">
        <v>45</v>
      </c>
      <c r="E26" s="15">
        <v>137.1</v>
      </c>
      <c r="F26" s="15">
        <v>150.80000000000001</v>
      </c>
      <c r="G26" s="15">
        <v>136.69999999999999</v>
      </c>
      <c r="H26" s="15">
        <v>141.9</v>
      </c>
      <c r="I26" s="15">
        <v>122.8</v>
      </c>
      <c r="J26" s="15">
        <v>143.9</v>
      </c>
      <c r="K26" s="15">
        <v>147.5</v>
      </c>
      <c r="L26" s="15">
        <v>121</v>
      </c>
      <c r="M26" s="15">
        <v>140.6</v>
      </c>
      <c r="N26" s="15">
        <f t="shared" si="1"/>
        <v>1242.2999999999997</v>
      </c>
      <c r="O26" s="15">
        <v>150.30000000000001</v>
      </c>
      <c r="P26" s="15">
        <v>145.4</v>
      </c>
      <c r="Q26" s="15">
        <v>130.30000000000001</v>
      </c>
      <c r="R26" s="15">
        <v>150.19999999999999</v>
      </c>
      <c r="S26" s="15">
        <v>148</v>
      </c>
      <c r="T26" s="15">
        <v>142.4</v>
      </c>
      <c r="V26" s="15">
        <v>2018</v>
      </c>
      <c r="W26" s="15" t="s">
        <v>45</v>
      </c>
      <c r="X26" s="15" t="str">
        <f t="shared" si="0"/>
        <v>November 2018</v>
      </c>
      <c r="Y26" s="9">
        <f t="shared" si="2"/>
        <v>1.9356399709651068E-3</v>
      </c>
      <c r="Z26" s="9">
        <f t="shared" si="3"/>
        <v>4.0080160320642806E-3</v>
      </c>
      <c r="AA26" s="9">
        <f t="shared" si="4"/>
        <v>4.1436464088397398E-3</v>
      </c>
      <c r="AB26" s="9">
        <f t="shared" si="5"/>
        <v>-3.8226299694189597E-3</v>
      </c>
      <c r="AC26" s="9">
        <f t="shared" si="6"/>
        <v>1.4864864864864788E-2</v>
      </c>
      <c r="AD26" s="9">
        <f t="shared" si="7"/>
        <v>3.3898305084745762E-3</v>
      </c>
      <c r="AE26" s="9">
        <f t="shared" si="8"/>
        <v>1.4064697609002606E-3</v>
      </c>
    </row>
    <row r="27" spans="2:31" x14ac:dyDescent="0.35">
      <c r="B27" s="15" t="s">
        <v>30</v>
      </c>
      <c r="C27" s="15">
        <v>2018</v>
      </c>
      <c r="D27" s="15" t="s">
        <v>46</v>
      </c>
      <c r="E27" s="15">
        <v>137.1</v>
      </c>
      <c r="F27" s="15">
        <v>151.9</v>
      </c>
      <c r="G27" s="15">
        <v>137.4</v>
      </c>
      <c r="H27" s="15">
        <v>142.4</v>
      </c>
      <c r="I27" s="15">
        <v>124.2</v>
      </c>
      <c r="J27" s="15">
        <v>140.19999999999999</v>
      </c>
      <c r="K27" s="15">
        <v>136.6</v>
      </c>
      <c r="L27" s="15">
        <v>120.9</v>
      </c>
      <c r="M27" s="15">
        <v>140.19999999999999</v>
      </c>
      <c r="N27" s="15">
        <f t="shared" si="1"/>
        <v>1230.9000000000001</v>
      </c>
      <c r="O27" s="15">
        <v>149</v>
      </c>
      <c r="P27" s="15">
        <v>149.6</v>
      </c>
      <c r="Q27" s="15">
        <v>128.9</v>
      </c>
      <c r="R27" s="15">
        <v>155.1</v>
      </c>
      <c r="S27" s="15">
        <v>149.5</v>
      </c>
      <c r="T27" s="15">
        <v>141.9</v>
      </c>
      <c r="V27" s="15">
        <v>2018</v>
      </c>
      <c r="W27" s="15" t="s">
        <v>46</v>
      </c>
      <c r="X27" s="15" t="str">
        <f t="shared" si="0"/>
        <v>December 2018</v>
      </c>
      <c r="Y27" s="9">
        <f t="shared" si="2"/>
        <v>-9.1765274088381546E-3</v>
      </c>
      <c r="Z27" s="9">
        <f t="shared" si="3"/>
        <v>-8.6493679308051307E-3</v>
      </c>
      <c r="AA27" s="9">
        <f t="shared" si="4"/>
        <v>2.8885832187070071E-2</v>
      </c>
      <c r="AB27" s="9">
        <f t="shared" si="5"/>
        <v>-1.0744435917114395E-2</v>
      </c>
      <c r="AC27" s="9">
        <f t="shared" si="6"/>
        <v>3.2623169107856231E-2</v>
      </c>
      <c r="AD27" s="9">
        <f t="shared" si="7"/>
        <v>1.0135135135135136E-2</v>
      </c>
      <c r="AE27" s="9">
        <f t="shared" si="8"/>
        <v>-3.5112359550561797E-3</v>
      </c>
    </row>
    <row r="28" spans="2:31" x14ac:dyDescent="0.35">
      <c r="B28" s="15" t="s">
        <v>30</v>
      </c>
      <c r="C28" s="15">
        <v>2019</v>
      </c>
      <c r="D28" s="15" t="s">
        <v>31</v>
      </c>
      <c r="E28" s="15">
        <v>136.6</v>
      </c>
      <c r="F28" s="15">
        <v>152.5</v>
      </c>
      <c r="G28" s="15">
        <v>138.19999999999999</v>
      </c>
      <c r="H28" s="15">
        <v>142.4</v>
      </c>
      <c r="I28" s="15">
        <v>123.9</v>
      </c>
      <c r="J28" s="15">
        <v>135.5</v>
      </c>
      <c r="K28" s="15">
        <v>131.69999999999999</v>
      </c>
      <c r="L28" s="15">
        <v>121.3</v>
      </c>
      <c r="M28" s="15">
        <v>138.9</v>
      </c>
      <c r="N28" s="15">
        <f t="shared" si="1"/>
        <v>1221</v>
      </c>
      <c r="O28" s="15">
        <v>146.19999999999999</v>
      </c>
      <c r="P28" s="15">
        <v>149.6</v>
      </c>
      <c r="Q28" s="15">
        <v>128.6</v>
      </c>
      <c r="R28" s="15">
        <v>155.19999999999999</v>
      </c>
      <c r="S28" s="15">
        <v>150.1</v>
      </c>
      <c r="T28" s="15">
        <v>141</v>
      </c>
      <c r="V28" s="15">
        <v>2019</v>
      </c>
      <c r="W28" s="15" t="s">
        <v>31</v>
      </c>
      <c r="X28" s="15" t="str">
        <f t="shared" si="0"/>
        <v>January 2019</v>
      </c>
      <c r="Y28" s="9">
        <f t="shared" si="2"/>
        <v>-8.0428954423593223E-3</v>
      </c>
      <c r="Z28" s="9">
        <f t="shared" si="3"/>
        <v>-1.8791946308724907E-2</v>
      </c>
      <c r="AA28" s="9">
        <f t="shared" si="4"/>
        <v>0</v>
      </c>
      <c r="AB28" s="9">
        <f t="shared" si="5"/>
        <v>-2.3273855702095527E-3</v>
      </c>
      <c r="AC28" s="9">
        <f t="shared" si="6"/>
        <v>6.4474532559635278E-4</v>
      </c>
      <c r="AD28" s="9">
        <f t="shared" si="7"/>
        <v>4.013377926421367E-3</v>
      </c>
      <c r="AE28" s="9">
        <f t="shared" si="8"/>
        <v>-6.3424947145877776E-3</v>
      </c>
    </row>
    <row r="29" spans="2:31" x14ac:dyDescent="0.35">
      <c r="B29" s="15" t="s">
        <v>30</v>
      </c>
      <c r="C29" s="15">
        <v>2019</v>
      </c>
      <c r="D29" s="15" t="s">
        <v>35</v>
      </c>
      <c r="E29" s="15">
        <v>136.80000000000001</v>
      </c>
      <c r="F29" s="15">
        <v>153</v>
      </c>
      <c r="G29" s="15">
        <v>139.1</v>
      </c>
      <c r="H29" s="15">
        <v>142.5</v>
      </c>
      <c r="I29" s="15">
        <v>124.1</v>
      </c>
      <c r="J29" s="15">
        <v>135.80000000000001</v>
      </c>
      <c r="K29" s="15">
        <v>128.69999999999999</v>
      </c>
      <c r="L29" s="15">
        <v>121.5</v>
      </c>
      <c r="M29" s="15">
        <v>139.19999999999999</v>
      </c>
      <c r="N29" s="15">
        <f t="shared" si="1"/>
        <v>1220.7</v>
      </c>
      <c r="O29" s="15">
        <v>145.30000000000001</v>
      </c>
      <c r="P29" s="15">
        <v>149.9</v>
      </c>
      <c r="Q29" s="15">
        <v>129.19999999999999</v>
      </c>
      <c r="R29" s="15">
        <v>155.5</v>
      </c>
      <c r="S29" s="15">
        <v>150.1</v>
      </c>
      <c r="T29" s="15">
        <v>141</v>
      </c>
      <c r="V29" s="15">
        <v>2019</v>
      </c>
      <c r="W29" s="15" t="s">
        <v>35</v>
      </c>
      <c r="X29" s="15" t="str">
        <f t="shared" si="0"/>
        <v>February 2019</v>
      </c>
      <c r="Y29" s="9">
        <f t="shared" si="2"/>
        <v>-2.4570024570020845E-4</v>
      </c>
      <c r="Z29" s="9">
        <f t="shared" si="3"/>
        <v>-6.1559507523938255E-3</v>
      </c>
      <c r="AA29" s="9">
        <f t="shared" si="4"/>
        <v>2.0053475935829638E-3</v>
      </c>
      <c r="AB29" s="9">
        <f t="shared" si="5"/>
        <v>4.6656298600310604E-3</v>
      </c>
      <c r="AC29" s="9">
        <f t="shared" si="6"/>
        <v>1.9329896907217228E-3</v>
      </c>
      <c r="AD29" s="9">
        <f t="shared" si="7"/>
        <v>0</v>
      </c>
      <c r="AE29" s="9">
        <f t="shared" si="8"/>
        <v>0</v>
      </c>
    </row>
    <row r="30" spans="2:31" x14ac:dyDescent="0.35">
      <c r="B30" s="15" t="s">
        <v>30</v>
      </c>
      <c r="C30" s="15">
        <v>2019</v>
      </c>
      <c r="D30" s="15" t="s">
        <v>36</v>
      </c>
      <c r="E30" s="15">
        <v>136.9</v>
      </c>
      <c r="F30" s="15">
        <v>154.1</v>
      </c>
      <c r="G30" s="15">
        <v>138.69999999999999</v>
      </c>
      <c r="H30" s="15">
        <v>142.5</v>
      </c>
      <c r="I30" s="15">
        <v>124.1</v>
      </c>
      <c r="J30" s="15">
        <v>136.1</v>
      </c>
      <c r="K30" s="15">
        <v>128.19999999999999</v>
      </c>
      <c r="L30" s="15">
        <v>122.3</v>
      </c>
      <c r="M30" s="15">
        <v>138.9</v>
      </c>
      <c r="N30" s="15">
        <f t="shared" si="1"/>
        <v>1221.8000000000002</v>
      </c>
      <c r="O30" s="15">
        <v>146.4</v>
      </c>
      <c r="P30" s="15">
        <v>150.4</v>
      </c>
      <c r="Q30" s="15">
        <v>129.9</v>
      </c>
      <c r="R30" s="15">
        <v>155.5</v>
      </c>
      <c r="S30" s="15">
        <v>150</v>
      </c>
      <c r="T30" s="15">
        <v>141.19999999999999</v>
      </c>
      <c r="V30" s="15">
        <v>2019</v>
      </c>
      <c r="W30" s="15" t="s">
        <v>36</v>
      </c>
      <c r="X30" s="15" t="str">
        <f t="shared" si="0"/>
        <v>March 2019</v>
      </c>
      <c r="Y30" s="9">
        <f t="shared" si="2"/>
        <v>9.0112230687321734E-4</v>
      </c>
      <c r="Z30" s="9">
        <f t="shared" si="3"/>
        <v>7.5705437026840619E-3</v>
      </c>
      <c r="AA30" s="9">
        <f t="shared" si="4"/>
        <v>3.3355570380253501E-3</v>
      </c>
      <c r="AB30" s="9">
        <f t="shared" si="5"/>
        <v>5.417956656346882E-3</v>
      </c>
      <c r="AC30" s="9">
        <f t="shared" si="6"/>
        <v>0</v>
      </c>
      <c r="AD30" s="9">
        <f t="shared" si="7"/>
        <v>-6.6622251832108143E-4</v>
      </c>
      <c r="AE30" s="9">
        <f t="shared" si="8"/>
        <v>1.4184397163119762E-3</v>
      </c>
    </row>
    <row r="31" spans="2:31" x14ac:dyDescent="0.35">
      <c r="B31" s="15" t="s">
        <v>30</v>
      </c>
      <c r="C31" s="15">
        <v>2019</v>
      </c>
      <c r="D31" s="15" t="s">
        <v>38</v>
      </c>
      <c r="E31" s="15">
        <v>137.4</v>
      </c>
      <c r="F31" s="15">
        <v>159.5</v>
      </c>
      <c r="G31" s="15">
        <v>134.5</v>
      </c>
      <c r="H31" s="15">
        <v>142.6</v>
      </c>
      <c r="I31" s="15">
        <v>124</v>
      </c>
      <c r="J31" s="15">
        <v>143.69999999999999</v>
      </c>
      <c r="K31" s="15">
        <v>133.4</v>
      </c>
      <c r="L31" s="15">
        <v>125.1</v>
      </c>
      <c r="M31" s="15">
        <v>139.30000000000001</v>
      </c>
      <c r="N31" s="15">
        <f t="shared" si="1"/>
        <v>1239.5</v>
      </c>
      <c r="O31" s="15">
        <v>146.9</v>
      </c>
      <c r="P31" s="15">
        <v>151.30000000000001</v>
      </c>
      <c r="Q31" s="15">
        <v>130.19999999999999</v>
      </c>
      <c r="R31" s="15">
        <v>156.69999999999999</v>
      </c>
      <c r="S31" s="15">
        <v>149.5</v>
      </c>
      <c r="T31" s="15">
        <v>142.4</v>
      </c>
      <c r="V31" s="15">
        <v>2019</v>
      </c>
      <c r="W31" s="15" t="s">
        <v>38</v>
      </c>
      <c r="X31" s="15" t="str">
        <f t="shared" si="0"/>
        <v>May 2019</v>
      </c>
      <c r="Y31" s="9">
        <f t="shared" si="2"/>
        <v>1.4486822720576048E-2</v>
      </c>
      <c r="Z31" s="9">
        <f t="shared" si="3"/>
        <v>3.4153005464480873E-3</v>
      </c>
      <c r="AA31" s="9">
        <f t="shared" si="4"/>
        <v>5.9840425531915266E-3</v>
      </c>
      <c r="AB31" s="9">
        <f t="shared" si="5"/>
        <v>2.3094688221707693E-3</v>
      </c>
      <c r="AC31" s="9">
        <f t="shared" si="6"/>
        <v>7.7170418006430137E-3</v>
      </c>
      <c r="AD31" s="9">
        <f t="shared" si="7"/>
        <v>-3.3333333333333335E-3</v>
      </c>
      <c r="AE31" s="9">
        <f t="shared" si="8"/>
        <v>8.4985835694052214E-3</v>
      </c>
    </row>
    <row r="32" spans="2:31" x14ac:dyDescent="0.35">
      <c r="B32" s="15" t="s">
        <v>30</v>
      </c>
      <c r="C32" s="15">
        <v>2019</v>
      </c>
      <c r="D32" s="15" t="s">
        <v>39</v>
      </c>
      <c r="E32" s="15">
        <v>137.80000000000001</v>
      </c>
      <c r="F32" s="15">
        <v>163.5</v>
      </c>
      <c r="G32" s="15">
        <v>136.19999999999999</v>
      </c>
      <c r="H32" s="15">
        <v>143.19999999999999</v>
      </c>
      <c r="I32" s="15">
        <v>124.3</v>
      </c>
      <c r="J32" s="15">
        <v>143.30000000000001</v>
      </c>
      <c r="K32" s="15">
        <v>140.6</v>
      </c>
      <c r="L32" s="15">
        <v>128.69999999999999</v>
      </c>
      <c r="M32" s="15">
        <v>140.4</v>
      </c>
      <c r="N32" s="15">
        <f t="shared" si="1"/>
        <v>1258</v>
      </c>
      <c r="O32" s="15">
        <v>147.80000000000001</v>
      </c>
      <c r="P32" s="15">
        <v>151.69999999999999</v>
      </c>
      <c r="Q32" s="15">
        <v>130.19999999999999</v>
      </c>
      <c r="R32" s="15">
        <v>157.69999999999999</v>
      </c>
      <c r="S32" s="15">
        <v>149.6</v>
      </c>
      <c r="T32" s="15">
        <v>143.6</v>
      </c>
      <c r="V32" s="15">
        <v>2019</v>
      </c>
      <c r="W32" s="15" t="s">
        <v>39</v>
      </c>
      <c r="X32" s="15" t="str">
        <f t="shared" si="0"/>
        <v>June 2019</v>
      </c>
      <c r="Y32" s="9">
        <f t="shared" si="2"/>
        <v>1.4925373134328358E-2</v>
      </c>
      <c r="Z32" s="9">
        <f t="shared" si="3"/>
        <v>6.1266167460858108E-3</v>
      </c>
      <c r="AA32" s="9">
        <f t="shared" si="4"/>
        <v>2.6437541308656789E-3</v>
      </c>
      <c r="AB32" s="9">
        <f t="shared" si="5"/>
        <v>0</v>
      </c>
      <c r="AC32" s="9">
        <f t="shared" si="6"/>
        <v>6.3816209317166563E-3</v>
      </c>
      <c r="AD32" s="9">
        <f t="shared" si="7"/>
        <v>6.6889632107019613E-4</v>
      </c>
      <c r="AE32" s="9">
        <f t="shared" si="8"/>
        <v>8.4269662921347514E-3</v>
      </c>
    </row>
    <row r="33" spans="2:31" x14ac:dyDescent="0.35">
      <c r="B33" s="15" t="s">
        <v>30</v>
      </c>
      <c r="C33" s="15">
        <v>2019</v>
      </c>
      <c r="D33" s="15" t="s">
        <v>40</v>
      </c>
      <c r="E33" s="15">
        <v>138.4</v>
      </c>
      <c r="F33" s="15">
        <v>164</v>
      </c>
      <c r="G33" s="15">
        <v>138.4</v>
      </c>
      <c r="H33" s="15">
        <v>143.9</v>
      </c>
      <c r="I33" s="15">
        <v>124.4</v>
      </c>
      <c r="J33" s="15">
        <v>146.4</v>
      </c>
      <c r="K33" s="15">
        <v>150.1</v>
      </c>
      <c r="L33" s="15">
        <v>130.6</v>
      </c>
      <c r="M33" s="15">
        <v>141.69999999999999</v>
      </c>
      <c r="N33" s="15">
        <f t="shared" si="1"/>
        <v>1277.8999999999999</v>
      </c>
      <c r="O33" s="15">
        <v>146.80000000000001</v>
      </c>
      <c r="P33" s="15">
        <v>152.19999999999999</v>
      </c>
      <c r="Q33" s="15">
        <v>131.19999999999999</v>
      </c>
      <c r="R33" s="15">
        <v>159.1</v>
      </c>
      <c r="S33" s="15">
        <v>150</v>
      </c>
      <c r="T33" s="15">
        <v>144.9</v>
      </c>
      <c r="V33" s="15">
        <v>2019</v>
      </c>
      <c r="W33" s="15" t="s">
        <v>40</v>
      </c>
      <c r="X33" s="15" t="str">
        <f t="shared" si="0"/>
        <v>July 2019</v>
      </c>
      <c r="Y33" s="9">
        <f t="shared" si="2"/>
        <v>1.5818759936406888E-2</v>
      </c>
      <c r="Z33" s="9">
        <f t="shared" si="3"/>
        <v>-6.7658998646820019E-3</v>
      </c>
      <c r="AA33" s="9">
        <f t="shared" si="4"/>
        <v>3.2959789057350037E-3</v>
      </c>
      <c r="AB33" s="9">
        <f t="shared" si="5"/>
        <v>7.6804915514592943E-3</v>
      </c>
      <c r="AC33" s="9">
        <f t="shared" si="6"/>
        <v>8.8776157260621793E-3</v>
      </c>
      <c r="AD33" s="9">
        <f t="shared" si="7"/>
        <v>2.6737967914438883E-3</v>
      </c>
      <c r="AE33" s="9">
        <f t="shared" si="8"/>
        <v>9.0529247910864311E-3</v>
      </c>
    </row>
    <row r="34" spans="2:31" x14ac:dyDescent="0.35">
      <c r="B34" s="15" t="s">
        <v>30</v>
      </c>
      <c r="C34" s="15">
        <v>2019</v>
      </c>
      <c r="D34" s="15" t="s">
        <v>41</v>
      </c>
      <c r="E34" s="15">
        <v>139.19999999999999</v>
      </c>
      <c r="F34" s="15">
        <v>161.9</v>
      </c>
      <c r="G34" s="15">
        <v>137.1</v>
      </c>
      <c r="H34" s="15">
        <v>144.6</v>
      </c>
      <c r="I34" s="15">
        <v>124.7</v>
      </c>
      <c r="J34" s="15">
        <v>145.5</v>
      </c>
      <c r="K34" s="15">
        <v>156.19999999999999</v>
      </c>
      <c r="L34" s="15">
        <v>131.5</v>
      </c>
      <c r="M34" s="15">
        <v>142.69999999999999</v>
      </c>
      <c r="N34" s="15">
        <f t="shared" si="1"/>
        <v>1283.4000000000001</v>
      </c>
      <c r="O34" s="15">
        <v>146.4</v>
      </c>
      <c r="P34" s="15">
        <v>152.69999999999999</v>
      </c>
      <c r="Q34" s="15">
        <v>131.4</v>
      </c>
      <c r="R34" s="15">
        <v>159.69999999999999</v>
      </c>
      <c r="S34" s="15">
        <v>150.19999999999999</v>
      </c>
      <c r="T34" s="15">
        <v>145.69999999999999</v>
      </c>
      <c r="V34" s="15">
        <v>2019</v>
      </c>
      <c r="W34" s="15" t="s">
        <v>41</v>
      </c>
      <c r="X34" s="15" t="str">
        <f t="shared" si="0"/>
        <v>August 2019</v>
      </c>
      <c r="Y34" s="9">
        <f t="shared" si="2"/>
        <v>4.3039361452384597E-3</v>
      </c>
      <c r="Z34" s="9">
        <f t="shared" si="3"/>
        <v>-2.724795640327014E-3</v>
      </c>
      <c r="AA34" s="9">
        <f t="shared" si="4"/>
        <v>3.28515111695138E-3</v>
      </c>
      <c r="AB34" s="9">
        <f t="shared" si="5"/>
        <v>1.5243902439025692E-3</v>
      </c>
      <c r="AC34" s="9">
        <f t="shared" si="6"/>
        <v>3.7712130735386195E-3</v>
      </c>
      <c r="AD34" s="9">
        <f t="shared" si="7"/>
        <v>1.3333333333332576E-3</v>
      </c>
      <c r="AE34" s="9">
        <f t="shared" si="8"/>
        <v>5.521048999309751E-3</v>
      </c>
    </row>
    <row r="35" spans="2:31" x14ac:dyDescent="0.35">
      <c r="B35" s="15" t="s">
        <v>30</v>
      </c>
      <c r="C35" s="15">
        <v>2019</v>
      </c>
      <c r="D35" s="15" t="s">
        <v>42</v>
      </c>
      <c r="E35" s="15">
        <v>140.1</v>
      </c>
      <c r="F35" s="15">
        <v>161.9</v>
      </c>
      <c r="G35" s="15">
        <v>138.30000000000001</v>
      </c>
      <c r="H35" s="15">
        <v>145.69999999999999</v>
      </c>
      <c r="I35" s="15">
        <v>125.1</v>
      </c>
      <c r="J35" s="15">
        <v>143.80000000000001</v>
      </c>
      <c r="K35" s="15">
        <v>163.4</v>
      </c>
      <c r="L35" s="15">
        <v>132.19999999999999</v>
      </c>
      <c r="M35" s="15">
        <v>144.19999999999999</v>
      </c>
      <c r="N35" s="15">
        <f t="shared" si="1"/>
        <v>1294.7</v>
      </c>
      <c r="O35" s="15">
        <v>146.9</v>
      </c>
      <c r="P35" s="15">
        <v>153.4</v>
      </c>
      <c r="Q35" s="15">
        <v>131.6</v>
      </c>
      <c r="R35" s="15">
        <v>160.19999999999999</v>
      </c>
      <c r="S35" s="15">
        <v>150.30000000000001</v>
      </c>
      <c r="T35" s="15">
        <v>146.69999999999999</v>
      </c>
      <c r="V35" s="15">
        <v>2019</v>
      </c>
      <c r="W35" s="15" t="s">
        <v>42</v>
      </c>
      <c r="X35" s="15" t="str">
        <f t="shared" si="0"/>
        <v>September 2019</v>
      </c>
      <c r="Y35" s="9">
        <f t="shared" si="2"/>
        <v>8.8047374162380822E-3</v>
      </c>
      <c r="Z35" s="9">
        <f t="shared" si="3"/>
        <v>3.4153005464480873E-3</v>
      </c>
      <c r="AA35" s="9">
        <f t="shared" si="4"/>
        <v>4.5841519318927122E-3</v>
      </c>
      <c r="AB35" s="9">
        <f t="shared" si="5"/>
        <v>1.5220700152206135E-3</v>
      </c>
      <c r="AC35" s="9">
        <f t="shared" si="6"/>
        <v>3.130870381966187E-3</v>
      </c>
      <c r="AD35" s="9">
        <f t="shared" si="7"/>
        <v>6.6577896138497164E-4</v>
      </c>
      <c r="AE35" s="9">
        <f t="shared" si="8"/>
        <v>6.8634179821551134E-3</v>
      </c>
    </row>
    <row r="36" spans="2:31" x14ac:dyDescent="0.35">
      <c r="B36" s="15" t="s">
        <v>30</v>
      </c>
      <c r="C36" s="15">
        <v>2019</v>
      </c>
      <c r="D36" s="15" t="s">
        <v>43</v>
      </c>
      <c r="E36" s="15">
        <v>141</v>
      </c>
      <c r="F36" s="15">
        <v>161.6</v>
      </c>
      <c r="G36" s="15">
        <v>141.19999999999999</v>
      </c>
      <c r="H36" s="15">
        <v>146.5</v>
      </c>
      <c r="I36" s="15">
        <v>125.6</v>
      </c>
      <c r="J36" s="15">
        <v>145.69999999999999</v>
      </c>
      <c r="K36" s="15">
        <v>178.8</v>
      </c>
      <c r="L36" s="15">
        <v>133.1</v>
      </c>
      <c r="M36" s="15">
        <v>145.5</v>
      </c>
      <c r="N36" s="15">
        <f t="shared" si="1"/>
        <v>1318.9999999999998</v>
      </c>
      <c r="O36" s="15">
        <v>147.69999999999999</v>
      </c>
      <c r="P36" s="15">
        <v>153.69999999999999</v>
      </c>
      <c r="Q36" s="15">
        <v>131.69999999999999</v>
      </c>
      <c r="R36" s="15">
        <v>160.69999999999999</v>
      </c>
      <c r="S36" s="15">
        <v>150.6</v>
      </c>
      <c r="T36" s="15">
        <v>148.30000000000001</v>
      </c>
      <c r="V36" s="15">
        <v>2019</v>
      </c>
      <c r="W36" s="15" t="s">
        <v>43</v>
      </c>
      <c r="X36" s="15" t="str">
        <f t="shared" si="0"/>
        <v>October 2019</v>
      </c>
      <c r="Y36" s="9">
        <f t="shared" si="2"/>
        <v>1.876882675523266E-2</v>
      </c>
      <c r="Z36" s="9">
        <f t="shared" si="3"/>
        <v>5.4458815520761258E-3</v>
      </c>
      <c r="AA36" s="9">
        <f t="shared" si="4"/>
        <v>1.9556714471967596E-3</v>
      </c>
      <c r="AB36" s="9">
        <f t="shared" si="5"/>
        <v>7.5987841945284438E-4</v>
      </c>
      <c r="AC36" s="9">
        <f t="shared" si="6"/>
        <v>3.1210986267166045E-3</v>
      </c>
      <c r="AD36" s="9">
        <f t="shared" si="7"/>
        <v>1.9960079840318223E-3</v>
      </c>
      <c r="AE36" s="9">
        <f t="shared" si="8"/>
        <v>1.0906612133606155E-2</v>
      </c>
    </row>
    <row r="37" spans="2:31" x14ac:dyDescent="0.35">
      <c r="B37" s="15" t="s">
        <v>30</v>
      </c>
      <c r="C37" s="15">
        <v>2019</v>
      </c>
      <c r="D37" s="15" t="s">
        <v>45</v>
      </c>
      <c r="E37" s="15">
        <v>141.80000000000001</v>
      </c>
      <c r="F37" s="15">
        <v>163.69999999999999</v>
      </c>
      <c r="G37" s="15">
        <v>143.80000000000001</v>
      </c>
      <c r="H37" s="15">
        <v>147.1</v>
      </c>
      <c r="I37" s="15">
        <v>126</v>
      </c>
      <c r="J37" s="15">
        <v>146.19999999999999</v>
      </c>
      <c r="K37" s="15">
        <v>191.4</v>
      </c>
      <c r="L37" s="15">
        <v>136.19999999999999</v>
      </c>
      <c r="M37" s="15">
        <v>147.30000000000001</v>
      </c>
      <c r="N37" s="15">
        <f t="shared" si="1"/>
        <v>1343.5</v>
      </c>
      <c r="O37" s="15">
        <v>148.4</v>
      </c>
      <c r="P37" s="15">
        <v>154.30000000000001</v>
      </c>
      <c r="Q37" s="15">
        <v>132.1</v>
      </c>
      <c r="R37" s="15">
        <v>160.80000000000001</v>
      </c>
      <c r="S37" s="15">
        <v>150.9</v>
      </c>
      <c r="T37" s="15">
        <v>149.9</v>
      </c>
      <c r="V37" s="15">
        <v>2019</v>
      </c>
      <c r="W37" s="15" t="s">
        <v>45</v>
      </c>
      <c r="X37" s="15" t="str">
        <f t="shared" si="0"/>
        <v>November 2019</v>
      </c>
      <c r="Y37" s="9">
        <f t="shared" si="2"/>
        <v>1.8574677786201844E-2</v>
      </c>
      <c r="Z37" s="9">
        <f t="shared" si="3"/>
        <v>4.739336492891111E-3</v>
      </c>
      <c r="AA37" s="9">
        <f t="shared" si="4"/>
        <v>3.9037085230970905E-3</v>
      </c>
      <c r="AB37" s="9">
        <f t="shared" si="5"/>
        <v>3.0372057706910078E-3</v>
      </c>
      <c r="AC37" s="9">
        <f t="shared" si="6"/>
        <v>6.2227753578109979E-4</v>
      </c>
      <c r="AD37" s="9">
        <f t="shared" si="7"/>
        <v>1.9920318725100356E-3</v>
      </c>
      <c r="AE37" s="9">
        <f t="shared" si="8"/>
        <v>1.0788941335131452E-2</v>
      </c>
    </row>
    <row r="38" spans="2:31" x14ac:dyDescent="0.35">
      <c r="B38" s="15" t="s">
        <v>30</v>
      </c>
      <c r="C38" s="15">
        <v>2019</v>
      </c>
      <c r="D38" s="15" t="s">
        <v>46</v>
      </c>
      <c r="E38" s="15">
        <v>142.80000000000001</v>
      </c>
      <c r="F38" s="15">
        <v>165.3</v>
      </c>
      <c r="G38" s="15">
        <v>149.5</v>
      </c>
      <c r="H38" s="15">
        <v>148.69999999999999</v>
      </c>
      <c r="I38" s="15">
        <v>127.5</v>
      </c>
      <c r="J38" s="15">
        <v>144.30000000000001</v>
      </c>
      <c r="K38" s="15">
        <v>209.5</v>
      </c>
      <c r="L38" s="15">
        <v>138.80000000000001</v>
      </c>
      <c r="M38" s="15">
        <v>149.1</v>
      </c>
      <c r="N38" s="15">
        <f t="shared" si="1"/>
        <v>1375.4999999999998</v>
      </c>
      <c r="O38" s="15">
        <v>149.9</v>
      </c>
      <c r="P38" s="15">
        <v>154.80000000000001</v>
      </c>
      <c r="Q38" s="15">
        <v>135</v>
      </c>
      <c r="R38" s="15">
        <v>161.1</v>
      </c>
      <c r="S38" s="15">
        <v>151.19999999999999</v>
      </c>
      <c r="T38" s="15">
        <v>152.30000000000001</v>
      </c>
      <c r="V38" s="15">
        <v>2019</v>
      </c>
      <c r="W38" s="15" t="s">
        <v>46</v>
      </c>
      <c r="X38" s="15" t="str">
        <f t="shared" si="0"/>
        <v>December 2019</v>
      </c>
      <c r="Y38" s="9">
        <f t="shared" si="2"/>
        <v>2.3818384815779511E-2</v>
      </c>
      <c r="Z38" s="9">
        <f t="shared" si="3"/>
        <v>1.0107816711590296E-2</v>
      </c>
      <c r="AA38" s="9">
        <f t="shared" si="4"/>
        <v>3.2404406999351908E-3</v>
      </c>
      <c r="AB38" s="9">
        <f t="shared" si="5"/>
        <v>2.195306585919762E-2</v>
      </c>
      <c r="AC38" s="9">
        <f t="shared" si="6"/>
        <v>1.8656716417909385E-3</v>
      </c>
      <c r="AD38" s="9">
        <f t="shared" si="7"/>
        <v>1.9880715705764278E-3</v>
      </c>
      <c r="AE38" s="9">
        <f t="shared" si="8"/>
        <v>1.6010673782521717E-2</v>
      </c>
    </row>
    <row r="39" spans="2:31" x14ac:dyDescent="0.35">
      <c r="B39" s="15" t="s">
        <v>30</v>
      </c>
      <c r="C39" s="15">
        <v>2020</v>
      </c>
      <c r="D39" s="15" t="s">
        <v>31</v>
      </c>
      <c r="E39" s="15">
        <v>143.69999999999999</v>
      </c>
      <c r="F39" s="15">
        <v>167.3</v>
      </c>
      <c r="G39" s="15">
        <v>153.5</v>
      </c>
      <c r="H39" s="15">
        <v>150.5</v>
      </c>
      <c r="I39" s="15">
        <v>132</v>
      </c>
      <c r="J39" s="15">
        <v>142.19999999999999</v>
      </c>
      <c r="K39" s="15">
        <v>191.5</v>
      </c>
      <c r="L39" s="15">
        <v>141.1</v>
      </c>
      <c r="M39" s="15">
        <v>151.6</v>
      </c>
      <c r="N39" s="15">
        <f t="shared" si="1"/>
        <v>1373.3999999999999</v>
      </c>
      <c r="O39" s="15">
        <v>150.4</v>
      </c>
      <c r="P39" s="15">
        <v>155.69999999999999</v>
      </c>
      <c r="Q39" s="15">
        <v>136.30000000000001</v>
      </c>
      <c r="R39" s="15">
        <v>161.69999999999999</v>
      </c>
      <c r="S39" s="15">
        <v>151.69999999999999</v>
      </c>
      <c r="T39" s="15">
        <v>151.9</v>
      </c>
      <c r="V39" s="15">
        <v>2020</v>
      </c>
      <c r="W39" s="15" t="s">
        <v>31</v>
      </c>
      <c r="X39" s="15" t="str">
        <f t="shared" si="0"/>
        <v>January 2020</v>
      </c>
      <c r="Y39" s="9">
        <f t="shared" si="2"/>
        <v>-1.5267175572518425E-3</v>
      </c>
      <c r="Z39" s="9">
        <f t="shared" si="3"/>
        <v>3.3355570380253501E-3</v>
      </c>
      <c r="AA39" s="9">
        <f t="shared" si="4"/>
        <v>5.8139534883719455E-3</v>
      </c>
      <c r="AB39" s="9">
        <f t="shared" si="5"/>
        <v>9.6296296296297136E-3</v>
      </c>
      <c r="AC39" s="9">
        <f t="shared" si="6"/>
        <v>3.7243947858472647E-3</v>
      </c>
      <c r="AD39" s="9">
        <f t="shared" si="7"/>
        <v>3.3068783068783071E-3</v>
      </c>
      <c r="AE39" s="9">
        <f t="shared" si="8"/>
        <v>-2.6263952724885466E-3</v>
      </c>
    </row>
    <row r="40" spans="2:31" x14ac:dyDescent="0.35">
      <c r="B40" s="15" t="s">
        <v>30</v>
      </c>
      <c r="C40" s="15">
        <v>2020</v>
      </c>
      <c r="D40" s="15" t="s">
        <v>35</v>
      </c>
      <c r="E40" s="15">
        <v>144.19999999999999</v>
      </c>
      <c r="F40" s="15">
        <v>167.5</v>
      </c>
      <c r="G40" s="15">
        <v>150.9</v>
      </c>
      <c r="H40" s="15">
        <v>150.9</v>
      </c>
      <c r="I40" s="15">
        <v>133.69999999999999</v>
      </c>
      <c r="J40" s="15">
        <v>140.69999999999999</v>
      </c>
      <c r="K40" s="15">
        <v>165.1</v>
      </c>
      <c r="L40" s="15">
        <v>141.80000000000001</v>
      </c>
      <c r="M40" s="15">
        <v>152.80000000000001</v>
      </c>
      <c r="N40" s="15">
        <f t="shared" si="1"/>
        <v>1347.6</v>
      </c>
      <c r="O40" s="15">
        <v>152.30000000000001</v>
      </c>
      <c r="P40" s="15">
        <v>156.19999999999999</v>
      </c>
      <c r="Q40" s="15">
        <v>136</v>
      </c>
      <c r="R40" s="15">
        <v>161.9</v>
      </c>
      <c r="S40" s="15">
        <v>151.80000000000001</v>
      </c>
      <c r="T40" s="15">
        <v>150.4</v>
      </c>
      <c r="V40" s="15">
        <v>2020</v>
      </c>
      <c r="W40" s="15" t="s">
        <v>35</v>
      </c>
      <c r="X40" s="15" t="str">
        <f t="shared" si="0"/>
        <v>February 2020</v>
      </c>
      <c r="Y40" s="9">
        <f t="shared" si="2"/>
        <v>-1.8785495849716002E-2</v>
      </c>
      <c r="Z40" s="9">
        <f t="shared" si="3"/>
        <v>1.2632978723404293E-2</v>
      </c>
      <c r="AA40" s="9">
        <f t="shared" si="4"/>
        <v>3.2113037893384717E-3</v>
      </c>
      <c r="AB40" s="9">
        <f t="shared" si="5"/>
        <v>-2.2010271460015506E-3</v>
      </c>
      <c r="AC40" s="9">
        <f t="shared" si="6"/>
        <v>1.236858379715628E-3</v>
      </c>
      <c r="AD40" s="9">
        <f t="shared" si="7"/>
        <v>6.5919578114715055E-4</v>
      </c>
      <c r="AE40" s="9">
        <f t="shared" si="8"/>
        <v>-9.8749177090190904E-3</v>
      </c>
    </row>
    <row r="41" spans="2:31" x14ac:dyDescent="0.35">
      <c r="B41" s="15" t="s">
        <v>30</v>
      </c>
      <c r="C41" s="15">
        <v>2020</v>
      </c>
      <c r="D41" s="15" t="s">
        <v>36</v>
      </c>
      <c r="E41" s="15">
        <v>144.4</v>
      </c>
      <c r="F41" s="15">
        <v>166.8</v>
      </c>
      <c r="G41" s="15">
        <v>147.6</v>
      </c>
      <c r="H41" s="15">
        <v>151.69999999999999</v>
      </c>
      <c r="I41" s="15">
        <v>133.30000000000001</v>
      </c>
      <c r="J41" s="15">
        <v>141.80000000000001</v>
      </c>
      <c r="K41" s="15">
        <v>152.30000000000001</v>
      </c>
      <c r="L41" s="15">
        <v>141.80000000000001</v>
      </c>
      <c r="M41" s="15">
        <v>154</v>
      </c>
      <c r="N41" s="15">
        <f t="shared" si="1"/>
        <v>1333.6999999999998</v>
      </c>
      <c r="O41" s="15">
        <v>153.4</v>
      </c>
      <c r="P41" s="15">
        <v>156.69999999999999</v>
      </c>
      <c r="Q41" s="15">
        <v>135.80000000000001</v>
      </c>
      <c r="R41" s="15">
        <v>161.19999999999999</v>
      </c>
      <c r="S41" s="15">
        <v>151.5</v>
      </c>
      <c r="T41" s="15">
        <v>149.80000000000001</v>
      </c>
      <c r="V41" s="15">
        <v>2020</v>
      </c>
      <c r="W41" s="15" t="s">
        <v>36</v>
      </c>
      <c r="X41" s="15" t="str">
        <f t="shared" si="0"/>
        <v>March 2020</v>
      </c>
      <c r="Y41" s="9">
        <f t="shared" si="2"/>
        <v>-1.0314633422380596E-2</v>
      </c>
      <c r="Z41" s="9">
        <f t="shared" si="3"/>
        <v>7.2225869993433637E-3</v>
      </c>
      <c r="AA41" s="9">
        <f t="shared" si="4"/>
        <v>3.2010243277848915E-3</v>
      </c>
      <c r="AB41" s="9">
        <f t="shared" si="5"/>
        <v>-1.4705882352940341E-3</v>
      </c>
      <c r="AC41" s="9">
        <f t="shared" si="6"/>
        <v>-4.3236565781347566E-3</v>
      </c>
      <c r="AD41" s="9">
        <f t="shared" si="7"/>
        <v>-1.976284584980312E-3</v>
      </c>
      <c r="AE41" s="9">
        <f t="shared" si="8"/>
        <v>-3.989361702127622E-3</v>
      </c>
    </row>
    <row r="42" spans="2:31" x14ac:dyDescent="0.35">
      <c r="B42" s="15" t="s">
        <v>30</v>
      </c>
      <c r="C42" s="15">
        <v>2020</v>
      </c>
      <c r="D42" s="15" t="s">
        <v>37</v>
      </c>
      <c r="E42" s="15">
        <v>147.19999999999999</v>
      </c>
      <c r="F42" s="15">
        <v>143.75</v>
      </c>
      <c r="G42" s="15">
        <v>146.9</v>
      </c>
      <c r="H42" s="15">
        <v>155.6</v>
      </c>
      <c r="I42" s="15">
        <v>137.1</v>
      </c>
      <c r="J42" s="15">
        <v>147.30000000000001</v>
      </c>
      <c r="K42" s="15">
        <v>162.69999999999999</v>
      </c>
      <c r="L42" s="15">
        <v>150.19999999999999</v>
      </c>
      <c r="M42" s="15">
        <v>158.69999999999999</v>
      </c>
      <c r="N42" s="15">
        <f t="shared" si="1"/>
        <v>1349.4500000000003</v>
      </c>
      <c r="O42" s="15">
        <v>148.4</v>
      </c>
      <c r="P42" s="15">
        <v>154.30000000000001</v>
      </c>
      <c r="Q42" s="15">
        <v>122.35</v>
      </c>
      <c r="R42" s="15">
        <v>141.5</v>
      </c>
      <c r="S42" s="15">
        <v>139.21339285714285</v>
      </c>
      <c r="T42" s="15">
        <v>138.89999999999998</v>
      </c>
      <c r="V42" s="15">
        <v>2020</v>
      </c>
      <c r="W42" s="15" t="s">
        <v>37</v>
      </c>
      <c r="X42" s="15" t="str">
        <f t="shared" si="0"/>
        <v>April 2020</v>
      </c>
      <c r="Y42" s="9">
        <f t="shared" si="2"/>
        <v>1.180925245557506E-2</v>
      </c>
      <c r="Z42" s="9">
        <f t="shared" si="3"/>
        <v>-3.259452411994785E-2</v>
      </c>
      <c r="AA42" s="9">
        <f t="shared" si="4"/>
        <v>-1.5315890236119831E-2</v>
      </c>
      <c r="AB42" s="9">
        <f t="shared" si="5"/>
        <v>-9.9042709867452255E-2</v>
      </c>
      <c r="AC42" s="9">
        <f t="shared" si="6"/>
        <v>-0.12220843672456569</v>
      </c>
      <c r="AD42" s="9">
        <f t="shared" si="7"/>
        <v>-8.1099717114568648E-2</v>
      </c>
      <c r="AE42" s="9">
        <f t="shared" si="8"/>
        <v>-7.2763684913217844E-2</v>
      </c>
    </row>
    <row r="43" spans="2:31" x14ac:dyDescent="0.35">
      <c r="B43" s="15" t="s">
        <v>30</v>
      </c>
      <c r="C43" s="15">
        <v>2020</v>
      </c>
      <c r="D43" s="15" t="s">
        <v>38</v>
      </c>
      <c r="E43" s="15">
        <v>135.32857142857145</v>
      </c>
      <c r="F43" s="15">
        <v>143.75</v>
      </c>
      <c r="G43" s="15">
        <v>135.69999999999999</v>
      </c>
      <c r="H43" s="15">
        <v>141.9</v>
      </c>
      <c r="I43" s="15">
        <v>123</v>
      </c>
      <c r="J43" s="15">
        <v>142.69999999999999</v>
      </c>
      <c r="K43" s="15">
        <v>149.05000000000001</v>
      </c>
      <c r="L43" s="15">
        <v>139.5</v>
      </c>
      <c r="M43" s="15">
        <v>136.85000000000002</v>
      </c>
      <c r="N43" s="15">
        <f t="shared" si="1"/>
        <v>1247.7785714285715</v>
      </c>
      <c r="O43" s="15">
        <v>140.52032520325199</v>
      </c>
      <c r="P43" s="15">
        <v>136.14999999999998</v>
      </c>
      <c r="Q43" s="15">
        <v>122.35</v>
      </c>
      <c r="R43" s="15">
        <v>141.5</v>
      </c>
      <c r="S43" s="15">
        <v>139.21339285714285</v>
      </c>
      <c r="T43" s="15">
        <v>138.89999999999998</v>
      </c>
      <c r="V43" s="15">
        <v>2020</v>
      </c>
      <c r="W43" s="15" t="s">
        <v>38</v>
      </c>
      <c r="X43" s="15" t="str">
        <f t="shared" si="0"/>
        <v>May 2020</v>
      </c>
      <c r="Y43" s="9">
        <f t="shared" si="2"/>
        <v>-7.5342864553283775E-2</v>
      </c>
      <c r="Z43" s="9">
        <f t="shared" si="3"/>
        <v>-5.3097539061644335E-2</v>
      </c>
      <c r="AA43" s="9">
        <f t="shared" si="4"/>
        <v>-0.11762799740764765</v>
      </c>
      <c r="AB43" s="9">
        <f t="shared" si="5"/>
        <v>0</v>
      </c>
      <c r="AC43" s="9">
        <f t="shared" si="6"/>
        <v>0</v>
      </c>
      <c r="AD43" s="9">
        <f t="shared" si="7"/>
        <v>0</v>
      </c>
      <c r="AE43" s="9">
        <f t="shared" si="8"/>
        <v>0</v>
      </c>
    </row>
    <row r="44" spans="2:31" x14ac:dyDescent="0.35">
      <c r="B44" s="15" t="s">
        <v>30</v>
      </c>
      <c r="C44" s="15">
        <v>2020</v>
      </c>
      <c r="D44" s="15" t="s">
        <v>39</v>
      </c>
      <c r="E44" s="15">
        <v>148.19999999999999</v>
      </c>
      <c r="F44" s="15">
        <v>190.3</v>
      </c>
      <c r="G44" s="15">
        <v>149.4</v>
      </c>
      <c r="H44" s="15">
        <v>153.30000000000001</v>
      </c>
      <c r="I44" s="15">
        <v>138.19999999999999</v>
      </c>
      <c r="J44" s="15">
        <v>143.19999999999999</v>
      </c>
      <c r="K44" s="15">
        <v>148.9</v>
      </c>
      <c r="L44" s="15">
        <v>150.30000000000001</v>
      </c>
      <c r="M44" s="15">
        <v>159.80000000000001</v>
      </c>
      <c r="N44" s="15">
        <f t="shared" si="1"/>
        <v>1381.6000000000001</v>
      </c>
      <c r="O44" s="15">
        <v>144.9</v>
      </c>
      <c r="P44" s="15">
        <v>158.19999999999999</v>
      </c>
      <c r="Q44" s="15">
        <v>141.4</v>
      </c>
      <c r="R44" s="15">
        <v>161.80000000000001</v>
      </c>
      <c r="S44" s="15">
        <v>151.69999999999999</v>
      </c>
      <c r="T44" s="15">
        <v>152.69999999999999</v>
      </c>
      <c r="V44" s="15">
        <v>2020</v>
      </c>
      <c r="W44" s="15" t="s">
        <v>39</v>
      </c>
      <c r="X44" s="15" t="str">
        <f t="shared" si="0"/>
        <v>June 2020</v>
      </c>
      <c r="Y44" s="9">
        <f t="shared" si="2"/>
        <v>0.10724773740762161</v>
      </c>
      <c r="Z44" s="9">
        <f t="shared" si="3"/>
        <v>3.1167553806989507E-2</v>
      </c>
      <c r="AA44" s="9">
        <f t="shared" si="4"/>
        <v>0.16195372750642684</v>
      </c>
      <c r="AB44" s="9">
        <f t="shared" si="5"/>
        <v>0.15570085819370669</v>
      </c>
      <c r="AC44" s="9">
        <f t="shared" si="6"/>
        <v>0.14346289752650185</v>
      </c>
      <c r="AD44" s="9">
        <f t="shared" si="7"/>
        <v>8.9694007786094043E-2</v>
      </c>
      <c r="AE44" s="9">
        <f t="shared" si="8"/>
        <v>9.9352051835853231E-2</v>
      </c>
    </row>
    <row r="45" spans="2:31" x14ac:dyDescent="0.35">
      <c r="B45" s="15" t="s">
        <v>30</v>
      </c>
      <c r="C45" s="15">
        <v>2020</v>
      </c>
      <c r="D45" s="15" t="s">
        <v>40</v>
      </c>
      <c r="E45" s="15">
        <v>148.19999999999999</v>
      </c>
      <c r="F45" s="15">
        <v>190.3</v>
      </c>
      <c r="G45" s="15">
        <v>149.4</v>
      </c>
      <c r="H45" s="15">
        <v>153.30000000000001</v>
      </c>
      <c r="I45" s="15">
        <v>138.19999999999999</v>
      </c>
      <c r="J45" s="15">
        <v>143.19999999999999</v>
      </c>
      <c r="K45" s="15">
        <v>148.9</v>
      </c>
      <c r="L45" s="15">
        <v>150.30000000000001</v>
      </c>
      <c r="M45" s="15">
        <v>159.80000000000001</v>
      </c>
      <c r="N45" s="15">
        <f t="shared" si="1"/>
        <v>1381.6000000000001</v>
      </c>
      <c r="O45" s="15">
        <v>144.9</v>
      </c>
      <c r="P45" s="15">
        <v>158.19999999999999</v>
      </c>
      <c r="Q45" s="15">
        <v>141.4</v>
      </c>
      <c r="R45" s="15">
        <v>161.80000000000001</v>
      </c>
      <c r="S45" s="15">
        <v>151.69999999999999</v>
      </c>
      <c r="T45" s="15">
        <v>152.69999999999999</v>
      </c>
      <c r="V45" s="15">
        <v>2020</v>
      </c>
      <c r="W45" s="15" t="s">
        <v>40</v>
      </c>
      <c r="X45" s="15" t="str">
        <f t="shared" si="0"/>
        <v>July 2020</v>
      </c>
      <c r="Y45" s="9">
        <f t="shared" si="2"/>
        <v>0</v>
      </c>
      <c r="Z45" s="9">
        <f t="shared" si="3"/>
        <v>0</v>
      </c>
      <c r="AA45" s="9">
        <f t="shared" si="4"/>
        <v>0</v>
      </c>
      <c r="AB45" s="9">
        <f t="shared" si="5"/>
        <v>0</v>
      </c>
      <c r="AC45" s="9">
        <f t="shared" si="6"/>
        <v>0</v>
      </c>
      <c r="AD45" s="9">
        <f t="shared" si="7"/>
        <v>0</v>
      </c>
      <c r="AE45" s="9">
        <f t="shared" si="8"/>
        <v>0</v>
      </c>
    </row>
    <row r="46" spans="2:31" x14ac:dyDescent="0.35">
      <c r="B46" s="15" t="s">
        <v>30</v>
      </c>
      <c r="C46" s="15">
        <v>2020</v>
      </c>
      <c r="D46" s="15" t="s">
        <v>41</v>
      </c>
      <c r="E46" s="15">
        <v>147.6</v>
      </c>
      <c r="F46" s="15">
        <v>187.2</v>
      </c>
      <c r="G46" s="15">
        <v>148.4</v>
      </c>
      <c r="H46" s="15">
        <v>153.30000000000001</v>
      </c>
      <c r="I46" s="15">
        <v>139.80000000000001</v>
      </c>
      <c r="J46" s="15">
        <v>146.9</v>
      </c>
      <c r="K46" s="15">
        <v>171</v>
      </c>
      <c r="L46" s="15">
        <v>149.9</v>
      </c>
      <c r="M46" s="15">
        <v>160</v>
      </c>
      <c r="N46" s="15">
        <f t="shared" si="1"/>
        <v>1404.1</v>
      </c>
      <c r="O46" s="15">
        <v>145.80000000000001</v>
      </c>
      <c r="P46" s="15">
        <v>158.80000000000001</v>
      </c>
      <c r="Q46" s="15">
        <v>143.6</v>
      </c>
      <c r="R46" s="15">
        <v>162.69999999999999</v>
      </c>
      <c r="S46" s="15">
        <v>151.9</v>
      </c>
      <c r="T46" s="15">
        <v>154.69999999999999</v>
      </c>
      <c r="V46" s="15">
        <v>2020</v>
      </c>
      <c r="W46" s="15" t="s">
        <v>41</v>
      </c>
      <c r="X46" s="15" t="str">
        <f t="shared" si="0"/>
        <v>August 2020</v>
      </c>
      <c r="Y46" s="9">
        <f t="shared" si="2"/>
        <v>1.6285466126230292E-2</v>
      </c>
      <c r="Z46" s="9">
        <f t="shared" si="3"/>
        <v>6.2111801242236411E-3</v>
      </c>
      <c r="AA46" s="9">
        <f t="shared" si="4"/>
        <v>3.7926675094818126E-3</v>
      </c>
      <c r="AB46" s="9">
        <f t="shared" si="5"/>
        <v>1.5558698727015478E-2</v>
      </c>
      <c r="AC46" s="9">
        <f t="shared" si="6"/>
        <v>5.5624227441284126E-3</v>
      </c>
      <c r="AD46" s="9">
        <f t="shared" si="7"/>
        <v>1.3183915622941138E-3</v>
      </c>
      <c r="AE46" s="9">
        <f t="shared" si="8"/>
        <v>1.3097576948264572E-2</v>
      </c>
    </row>
    <row r="47" spans="2:31" x14ac:dyDescent="0.35">
      <c r="B47" s="15" t="s">
        <v>30</v>
      </c>
      <c r="C47" s="15">
        <v>2020</v>
      </c>
      <c r="D47" s="15" t="s">
        <v>42</v>
      </c>
      <c r="E47" s="15">
        <v>146.9</v>
      </c>
      <c r="F47" s="15">
        <v>183.9</v>
      </c>
      <c r="G47" s="15">
        <v>149.5</v>
      </c>
      <c r="H47" s="15">
        <v>153.4</v>
      </c>
      <c r="I47" s="15">
        <v>140.4</v>
      </c>
      <c r="J47" s="15">
        <v>147</v>
      </c>
      <c r="K47" s="15">
        <v>178.8</v>
      </c>
      <c r="L47" s="15">
        <v>149.30000000000001</v>
      </c>
      <c r="M47" s="15">
        <v>160</v>
      </c>
      <c r="N47" s="15">
        <f t="shared" si="1"/>
        <v>1409.2</v>
      </c>
      <c r="O47" s="15">
        <v>146.4</v>
      </c>
      <c r="P47" s="15">
        <v>159.1</v>
      </c>
      <c r="Q47" s="15">
        <v>144.6</v>
      </c>
      <c r="R47" s="15">
        <v>161.1</v>
      </c>
      <c r="S47" s="15">
        <v>151.6</v>
      </c>
      <c r="T47" s="15">
        <v>155.4</v>
      </c>
      <c r="V47" s="15">
        <v>2020</v>
      </c>
      <c r="W47" s="15" t="s">
        <v>42</v>
      </c>
      <c r="X47" s="15" t="str">
        <f t="shared" si="0"/>
        <v>September 2020</v>
      </c>
      <c r="Y47" s="9">
        <f t="shared" si="2"/>
        <v>3.6322199273556986E-3</v>
      </c>
      <c r="Z47" s="9">
        <f t="shared" si="3"/>
        <v>4.1152263374485201E-3</v>
      </c>
      <c r="AA47" s="9">
        <f t="shared" si="4"/>
        <v>1.8891687657429654E-3</v>
      </c>
      <c r="AB47" s="9">
        <f t="shared" si="5"/>
        <v>6.9637883008356553E-3</v>
      </c>
      <c r="AC47" s="9">
        <f t="shared" si="6"/>
        <v>-9.8340503995082637E-3</v>
      </c>
      <c r="AD47" s="9">
        <f t="shared" si="7"/>
        <v>-1.974983541803893E-3</v>
      </c>
      <c r="AE47" s="9">
        <f t="shared" si="8"/>
        <v>4.5248868778281649E-3</v>
      </c>
    </row>
    <row r="48" spans="2:31" x14ac:dyDescent="0.35">
      <c r="B48" s="15" t="s">
        <v>30</v>
      </c>
      <c r="C48" s="15">
        <v>2020</v>
      </c>
      <c r="D48" s="15" t="s">
        <v>43</v>
      </c>
      <c r="E48" s="15">
        <v>146</v>
      </c>
      <c r="F48" s="15">
        <v>186.3</v>
      </c>
      <c r="G48" s="15">
        <v>159.19999999999999</v>
      </c>
      <c r="H48" s="15">
        <v>153.6</v>
      </c>
      <c r="I48" s="15">
        <v>142.6</v>
      </c>
      <c r="J48" s="15">
        <v>147.19999999999999</v>
      </c>
      <c r="K48" s="15">
        <v>200.6</v>
      </c>
      <c r="L48" s="15">
        <v>150.30000000000001</v>
      </c>
      <c r="M48" s="15">
        <v>160.9</v>
      </c>
      <c r="N48" s="15">
        <f t="shared" si="1"/>
        <v>1446.7</v>
      </c>
      <c r="O48" s="15">
        <v>146.80000000000001</v>
      </c>
      <c r="P48" s="15">
        <v>159.5</v>
      </c>
      <c r="Q48" s="15">
        <v>146.4</v>
      </c>
      <c r="R48" s="15">
        <v>162.5</v>
      </c>
      <c r="S48" s="15">
        <v>152</v>
      </c>
      <c r="T48" s="15">
        <v>157.5</v>
      </c>
      <c r="V48" s="15">
        <v>2020</v>
      </c>
      <c r="W48" s="15" t="s">
        <v>43</v>
      </c>
      <c r="X48" s="15" t="str">
        <f t="shared" si="0"/>
        <v>October 2020</v>
      </c>
      <c r="Y48" s="9">
        <f t="shared" si="2"/>
        <v>2.6610843031507236E-2</v>
      </c>
      <c r="Z48" s="9">
        <f t="shared" si="3"/>
        <v>2.7322404371585085E-3</v>
      </c>
      <c r="AA48" s="9">
        <f t="shared" si="4"/>
        <v>2.5141420490258056E-3</v>
      </c>
      <c r="AB48" s="9">
        <f t="shared" si="5"/>
        <v>1.2448132780083066E-2</v>
      </c>
      <c r="AC48" s="9">
        <f t="shared" si="6"/>
        <v>8.6902545003104022E-3</v>
      </c>
      <c r="AD48" s="9">
        <f t="shared" si="7"/>
        <v>2.6385224274406709E-3</v>
      </c>
      <c r="AE48" s="9">
        <f t="shared" si="8"/>
        <v>1.3513513513513476E-2</v>
      </c>
    </row>
    <row r="49" spans="2:31" x14ac:dyDescent="0.35">
      <c r="B49" s="15" t="s">
        <v>30</v>
      </c>
      <c r="C49" s="15">
        <v>2020</v>
      </c>
      <c r="D49" s="15" t="s">
        <v>45</v>
      </c>
      <c r="E49" s="15">
        <v>145.4</v>
      </c>
      <c r="F49" s="15">
        <v>188.6</v>
      </c>
      <c r="G49" s="15">
        <v>171.6</v>
      </c>
      <c r="H49" s="15">
        <v>153.80000000000001</v>
      </c>
      <c r="I49" s="15">
        <v>145.4</v>
      </c>
      <c r="J49" s="15">
        <v>146.5</v>
      </c>
      <c r="K49" s="15">
        <v>222.2</v>
      </c>
      <c r="L49" s="15">
        <v>155.9</v>
      </c>
      <c r="M49" s="15">
        <v>162</v>
      </c>
      <c r="N49" s="15">
        <f t="shared" si="1"/>
        <v>1491.4</v>
      </c>
      <c r="O49" s="15">
        <v>147.5</v>
      </c>
      <c r="P49" s="15">
        <v>160.4</v>
      </c>
      <c r="Q49" s="15">
        <v>146.1</v>
      </c>
      <c r="R49" s="15">
        <v>161.6</v>
      </c>
      <c r="S49" s="15">
        <v>152.80000000000001</v>
      </c>
      <c r="T49" s="15">
        <v>159.80000000000001</v>
      </c>
      <c r="V49" s="15">
        <v>2020</v>
      </c>
      <c r="W49" s="15" t="s">
        <v>45</v>
      </c>
      <c r="X49" s="15" t="str">
        <f t="shared" si="0"/>
        <v>November 2020</v>
      </c>
      <c r="Y49" s="9">
        <f t="shared" si="2"/>
        <v>3.0897905578212512E-2</v>
      </c>
      <c r="Z49" s="9">
        <f t="shared" si="3"/>
        <v>4.7683923705721292E-3</v>
      </c>
      <c r="AA49" s="9">
        <f t="shared" si="4"/>
        <v>5.6426332288401614E-3</v>
      </c>
      <c r="AB49" s="9">
        <f t="shared" si="5"/>
        <v>-2.0491803278689302E-3</v>
      </c>
      <c r="AC49" s="9">
        <f t="shared" si="6"/>
        <v>-5.5384615384615737E-3</v>
      </c>
      <c r="AD49" s="9">
        <f t="shared" si="7"/>
        <v>5.2631578947369166E-3</v>
      </c>
      <c r="AE49" s="9">
        <f t="shared" si="8"/>
        <v>1.4603174603174675E-2</v>
      </c>
    </row>
    <row r="50" spans="2:31" x14ac:dyDescent="0.35">
      <c r="B50" s="15" t="s">
        <v>30</v>
      </c>
      <c r="C50" s="15">
        <v>2020</v>
      </c>
      <c r="D50" s="15" t="s">
        <v>46</v>
      </c>
      <c r="E50" s="15">
        <v>144.6</v>
      </c>
      <c r="F50" s="15">
        <v>188.5</v>
      </c>
      <c r="G50" s="15">
        <v>173.4</v>
      </c>
      <c r="H50" s="15">
        <v>154</v>
      </c>
      <c r="I50" s="15">
        <v>150</v>
      </c>
      <c r="J50" s="15">
        <v>145.9</v>
      </c>
      <c r="K50" s="15">
        <v>225.2</v>
      </c>
      <c r="L50" s="15">
        <v>159.5</v>
      </c>
      <c r="M50" s="15">
        <v>163.5</v>
      </c>
      <c r="N50" s="15">
        <f t="shared" si="1"/>
        <v>1504.6</v>
      </c>
      <c r="O50" s="15">
        <v>148.69999999999999</v>
      </c>
      <c r="P50" s="15">
        <v>161.6</v>
      </c>
      <c r="Q50" s="15">
        <v>146.4</v>
      </c>
      <c r="R50" s="15">
        <v>162.9</v>
      </c>
      <c r="S50" s="15">
        <v>153.4</v>
      </c>
      <c r="T50" s="15">
        <v>160.69999999999999</v>
      </c>
      <c r="V50" s="15">
        <v>2020</v>
      </c>
      <c r="W50" s="15" t="s">
        <v>46</v>
      </c>
      <c r="X50" s="15" t="str">
        <f t="shared" si="0"/>
        <v>December 2020</v>
      </c>
      <c r="Y50" s="9">
        <f t="shared" si="2"/>
        <v>8.8507442671314322E-3</v>
      </c>
      <c r="Z50" s="9">
        <f t="shared" si="3"/>
        <v>8.1355932203389068E-3</v>
      </c>
      <c r="AA50" s="9">
        <f t="shared" si="4"/>
        <v>7.4812967581046668E-3</v>
      </c>
      <c r="AB50" s="9">
        <f t="shared" si="5"/>
        <v>2.0533880903491537E-3</v>
      </c>
      <c r="AC50" s="9">
        <f t="shared" si="6"/>
        <v>8.0445544554456159E-3</v>
      </c>
      <c r="AD50" s="9">
        <f t="shared" si="7"/>
        <v>3.9267015706805908E-3</v>
      </c>
      <c r="AE50" s="9">
        <f t="shared" si="8"/>
        <v>5.6320400500624356E-3</v>
      </c>
    </row>
    <row r="51" spans="2:31" x14ac:dyDescent="0.35">
      <c r="B51" s="15" t="s">
        <v>30</v>
      </c>
      <c r="C51" s="15">
        <v>2021</v>
      </c>
      <c r="D51" s="15" t="s">
        <v>31</v>
      </c>
      <c r="E51" s="15">
        <v>143.4</v>
      </c>
      <c r="F51" s="15">
        <v>187.5</v>
      </c>
      <c r="G51" s="15">
        <v>173.4</v>
      </c>
      <c r="H51" s="15">
        <v>154</v>
      </c>
      <c r="I51" s="15">
        <v>154.80000000000001</v>
      </c>
      <c r="J51" s="15">
        <v>147</v>
      </c>
      <c r="K51" s="15">
        <v>187.8</v>
      </c>
      <c r="L51" s="15">
        <v>159.5</v>
      </c>
      <c r="M51" s="15">
        <v>164.5</v>
      </c>
      <c r="N51" s="15">
        <f t="shared" si="1"/>
        <v>1471.8999999999999</v>
      </c>
      <c r="O51" s="15">
        <v>150.9</v>
      </c>
      <c r="P51" s="15">
        <v>162.5</v>
      </c>
      <c r="Q51" s="15">
        <v>147.5</v>
      </c>
      <c r="R51" s="15">
        <v>163.5</v>
      </c>
      <c r="S51" s="15">
        <v>153.9</v>
      </c>
      <c r="T51" s="15">
        <v>158.5</v>
      </c>
      <c r="V51" s="15">
        <v>2021</v>
      </c>
      <c r="W51" s="15" t="s">
        <v>31</v>
      </c>
      <c r="X51" s="15" t="str">
        <f t="shared" si="0"/>
        <v>January 2021</v>
      </c>
      <c r="Y51" s="9">
        <f t="shared" si="2"/>
        <v>-2.1733351056759304E-2</v>
      </c>
      <c r="Z51" s="9">
        <f t="shared" si="3"/>
        <v>1.4794889038332329E-2</v>
      </c>
      <c r="AA51" s="9">
        <f t="shared" si="4"/>
        <v>5.5693069306931046E-3</v>
      </c>
      <c r="AB51" s="9">
        <f t="shared" si="5"/>
        <v>7.513661202185753E-3</v>
      </c>
      <c r="AC51" s="9">
        <f t="shared" si="6"/>
        <v>3.6832412523019908E-3</v>
      </c>
      <c r="AD51" s="9">
        <f t="shared" si="7"/>
        <v>3.2594524119947846E-3</v>
      </c>
      <c r="AE51" s="9">
        <f t="shared" si="8"/>
        <v>-1.3690105787181012E-2</v>
      </c>
    </row>
    <row r="52" spans="2:31" x14ac:dyDescent="0.35">
      <c r="B52" s="15" t="s">
        <v>30</v>
      </c>
      <c r="C52" s="15">
        <v>2021</v>
      </c>
      <c r="D52" s="15" t="s">
        <v>35</v>
      </c>
      <c r="E52" s="15">
        <v>142.80000000000001</v>
      </c>
      <c r="F52" s="15">
        <v>184</v>
      </c>
      <c r="G52" s="15">
        <v>168</v>
      </c>
      <c r="H52" s="15">
        <v>154.4</v>
      </c>
      <c r="I52" s="15">
        <v>163</v>
      </c>
      <c r="J52" s="15">
        <v>147.80000000000001</v>
      </c>
      <c r="K52" s="15">
        <v>149.69999999999999</v>
      </c>
      <c r="L52" s="15">
        <v>158.30000000000001</v>
      </c>
      <c r="M52" s="15">
        <v>165</v>
      </c>
      <c r="N52" s="15">
        <f t="shared" si="1"/>
        <v>1433</v>
      </c>
      <c r="O52" s="15">
        <v>154.4</v>
      </c>
      <c r="P52" s="15">
        <v>164.3</v>
      </c>
      <c r="Q52" s="15">
        <v>150.19999999999999</v>
      </c>
      <c r="R52" s="15">
        <v>163.6</v>
      </c>
      <c r="S52" s="15">
        <v>154.80000000000001</v>
      </c>
      <c r="T52" s="15">
        <v>156.69999999999999</v>
      </c>
      <c r="V52" s="15">
        <v>2021</v>
      </c>
      <c r="W52" s="15" t="s">
        <v>35</v>
      </c>
      <c r="X52" s="15" t="str">
        <f t="shared" si="0"/>
        <v>February 2021</v>
      </c>
      <c r="Y52" s="9">
        <f t="shared" si="2"/>
        <v>-2.6428425844146931E-2</v>
      </c>
      <c r="Z52" s="9">
        <f t="shared" si="3"/>
        <v>2.3194168323392973E-2</v>
      </c>
      <c r="AA52" s="9">
        <f t="shared" si="4"/>
        <v>1.1076923076923147E-2</v>
      </c>
      <c r="AB52" s="9">
        <f t="shared" si="5"/>
        <v>1.8305084745762635E-2</v>
      </c>
      <c r="AC52" s="9">
        <f t="shared" si="6"/>
        <v>6.1162079510699891E-4</v>
      </c>
      <c r="AD52" s="9">
        <f t="shared" si="7"/>
        <v>5.847953216374306E-3</v>
      </c>
      <c r="AE52" s="9">
        <f t="shared" si="8"/>
        <v>-1.135646687697168E-2</v>
      </c>
    </row>
    <row r="53" spans="2:31" x14ac:dyDescent="0.35">
      <c r="B53" s="15" t="s">
        <v>30</v>
      </c>
      <c r="C53" s="15">
        <v>2021</v>
      </c>
      <c r="D53" s="15" t="s">
        <v>36</v>
      </c>
      <c r="E53" s="15">
        <v>142.5</v>
      </c>
      <c r="F53" s="15">
        <v>189.4</v>
      </c>
      <c r="G53" s="15">
        <v>163.19999999999999</v>
      </c>
      <c r="H53" s="15">
        <v>154.5</v>
      </c>
      <c r="I53" s="15">
        <v>168.2</v>
      </c>
      <c r="J53" s="15">
        <v>150.5</v>
      </c>
      <c r="K53" s="15">
        <v>141</v>
      </c>
      <c r="L53" s="15">
        <v>159.19999999999999</v>
      </c>
      <c r="M53" s="15">
        <v>164</v>
      </c>
      <c r="N53" s="15">
        <f t="shared" si="1"/>
        <v>1432.5</v>
      </c>
      <c r="O53" s="15">
        <v>156</v>
      </c>
      <c r="P53" s="15">
        <v>164.6</v>
      </c>
      <c r="Q53" s="15">
        <v>151.30000000000001</v>
      </c>
      <c r="R53" s="15">
        <v>163.80000000000001</v>
      </c>
      <c r="S53" s="15">
        <v>154.80000000000001</v>
      </c>
      <c r="T53" s="15">
        <v>156.69999999999999</v>
      </c>
      <c r="V53" s="15">
        <v>2021</v>
      </c>
      <c r="W53" s="15" t="s">
        <v>36</v>
      </c>
      <c r="X53" s="15" t="str">
        <f t="shared" si="0"/>
        <v>March 2021</v>
      </c>
      <c r="Y53" s="9">
        <f t="shared" si="2"/>
        <v>-3.4891835310537332E-4</v>
      </c>
      <c r="Z53" s="9">
        <f t="shared" si="3"/>
        <v>1.0362694300518097E-2</v>
      </c>
      <c r="AA53" s="9">
        <f t="shared" si="4"/>
        <v>1.8259281801581433E-3</v>
      </c>
      <c r="AB53" s="9">
        <f t="shared" si="5"/>
        <v>7.3235685752331744E-3</v>
      </c>
      <c r="AC53" s="9">
        <f t="shared" si="6"/>
        <v>1.2224938875306666E-3</v>
      </c>
      <c r="AD53" s="9">
        <f t="shared" si="7"/>
        <v>0</v>
      </c>
      <c r="AE53" s="9">
        <f t="shared" si="8"/>
        <v>0</v>
      </c>
    </row>
    <row r="54" spans="2:31" x14ac:dyDescent="0.35">
      <c r="B54" s="15" t="s">
        <v>30</v>
      </c>
      <c r="C54" s="15">
        <v>2021</v>
      </c>
      <c r="D54" s="15" t="s">
        <v>37</v>
      </c>
      <c r="E54" s="15">
        <v>142.69999999999999</v>
      </c>
      <c r="F54" s="15">
        <v>195.5</v>
      </c>
      <c r="G54" s="15">
        <v>163.4</v>
      </c>
      <c r="H54" s="15">
        <v>155</v>
      </c>
      <c r="I54" s="15">
        <v>175.2</v>
      </c>
      <c r="J54" s="15">
        <v>160.6</v>
      </c>
      <c r="K54" s="15">
        <v>135.1</v>
      </c>
      <c r="L54" s="15">
        <v>161.1</v>
      </c>
      <c r="M54" s="15">
        <v>164.4</v>
      </c>
      <c r="N54" s="15">
        <f t="shared" si="1"/>
        <v>1453</v>
      </c>
      <c r="O54" s="15">
        <v>156</v>
      </c>
      <c r="P54" s="15">
        <v>165.3</v>
      </c>
      <c r="Q54" s="15">
        <v>151.69999999999999</v>
      </c>
      <c r="R54" s="15">
        <v>164.1</v>
      </c>
      <c r="S54" s="15">
        <v>155.5</v>
      </c>
      <c r="T54" s="15">
        <v>157.6</v>
      </c>
      <c r="V54" s="15">
        <v>2021</v>
      </c>
      <c r="W54" s="15" t="s">
        <v>37</v>
      </c>
      <c r="X54" s="15" t="str">
        <f t="shared" si="0"/>
        <v>April 2021</v>
      </c>
      <c r="Y54" s="9">
        <f t="shared" si="2"/>
        <v>1.4310645724258289E-2</v>
      </c>
      <c r="Z54" s="9">
        <f t="shared" si="3"/>
        <v>0</v>
      </c>
      <c r="AA54" s="9">
        <f t="shared" si="4"/>
        <v>4.2527339003646239E-3</v>
      </c>
      <c r="AB54" s="9">
        <f t="shared" si="5"/>
        <v>2.6437541308656789E-3</v>
      </c>
      <c r="AC54" s="9">
        <f t="shared" si="6"/>
        <v>1.8315018315017272E-3</v>
      </c>
      <c r="AD54" s="9">
        <f t="shared" si="7"/>
        <v>4.5219638242893316E-3</v>
      </c>
      <c r="AE54" s="9">
        <f t="shared" si="8"/>
        <v>5.7434588385450267E-3</v>
      </c>
    </row>
    <row r="55" spans="2:31" x14ac:dyDescent="0.35">
      <c r="B55" s="15" t="s">
        <v>30</v>
      </c>
      <c r="C55" s="15">
        <v>2021</v>
      </c>
      <c r="D55" s="15" t="s">
        <v>38</v>
      </c>
      <c r="E55" s="15">
        <v>145.1</v>
      </c>
      <c r="F55" s="15">
        <v>198.5</v>
      </c>
      <c r="G55" s="15">
        <v>168.6</v>
      </c>
      <c r="H55" s="15">
        <v>155.80000000000001</v>
      </c>
      <c r="I55" s="15">
        <v>184.4</v>
      </c>
      <c r="J55" s="15">
        <v>162.30000000000001</v>
      </c>
      <c r="K55" s="15">
        <v>138.4</v>
      </c>
      <c r="L55" s="15">
        <v>165.1</v>
      </c>
      <c r="M55" s="15">
        <v>169.7</v>
      </c>
      <c r="N55" s="15">
        <f t="shared" si="1"/>
        <v>1487.9</v>
      </c>
      <c r="O55" s="15">
        <v>161.69999999999999</v>
      </c>
      <c r="P55" s="15">
        <v>169.1</v>
      </c>
      <c r="Q55" s="15">
        <v>153.19999999999999</v>
      </c>
      <c r="R55" s="15">
        <v>167.6</v>
      </c>
      <c r="S55" s="15">
        <v>158.80000000000001</v>
      </c>
      <c r="T55" s="15">
        <v>161.1</v>
      </c>
      <c r="V55" s="15">
        <v>2021</v>
      </c>
      <c r="W55" s="15" t="s">
        <v>38</v>
      </c>
      <c r="X55" s="15" t="str">
        <f t="shared" si="0"/>
        <v>May 2021</v>
      </c>
      <c r="Y55" s="9">
        <f t="shared" si="2"/>
        <v>2.4019270474879621E-2</v>
      </c>
      <c r="Z55" s="9">
        <f t="shared" si="3"/>
        <v>3.6538461538461464E-2</v>
      </c>
      <c r="AA55" s="9">
        <f t="shared" si="4"/>
        <v>2.2988505747126332E-2</v>
      </c>
      <c r="AB55" s="9">
        <f t="shared" si="5"/>
        <v>9.8879367172050106E-3</v>
      </c>
      <c r="AC55" s="9">
        <f t="shared" si="6"/>
        <v>2.132845825716027E-2</v>
      </c>
      <c r="AD55" s="9">
        <f t="shared" si="7"/>
        <v>2.1221864951768563E-2</v>
      </c>
      <c r="AE55" s="9">
        <f t="shared" si="8"/>
        <v>2.2208121827411168E-2</v>
      </c>
    </row>
    <row r="56" spans="2:31" x14ac:dyDescent="0.35">
      <c r="B56" s="15" t="s">
        <v>30</v>
      </c>
      <c r="C56" s="15">
        <v>2021</v>
      </c>
      <c r="D56" s="15" t="s">
        <v>39</v>
      </c>
      <c r="E56" s="15">
        <v>145.6</v>
      </c>
      <c r="F56" s="15">
        <v>200.1</v>
      </c>
      <c r="G56" s="15">
        <v>179.3</v>
      </c>
      <c r="H56" s="15">
        <v>156.1</v>
      </c>
      <c r="I56" s="15">
        <v>190.4</v>
      </c>
      <c r="J56" s="15">
        <v>158.6</v>
      </c>
      <c r="K56" s="15">
        <v>144.69999999999999</v>
      </c>
      <c r="L56" s="15">
        <v>165.5</v>
      </c>
      <c r="M56" s="15">
        <v>170</v>
      </c>
      <c r="N56" s="15">
        <f t="shared" si="1"/>
        <v>1510.3</v>
      </c>
      <c r="O56" s="15">
        <v>162.1</v>
      </c>
      <c r="P56" s="15">
        <v>169.7</v>
      </c>
      <c r="Q56" s="15">
        <v>154.19999999999999</v>
      </c>
      <c r="R56" s="15">
        <v>166.8</v>
      </c>
      <c r="S56" s="15">
        <v>159.19999999999999</v>
      </c>
      <c r="T56" s="15">
        <v>162.1</v>
      </c>
      <c r="V56" s="15">
        <v>2021</v>
      </c>
      <c r="W56" s="15" t="s">
        <v>39</v>
      </c>
      <c r="X56" s="15" t="str">
        <f t="shared" si="0"/>
        <v>June 2021</v>
      </c>
      <c r="Y56" s="9">
        <f t="shared" si="2"/>
        <v>1.5054775186504377E-2</v>
      </c>
      <c r="Z56" s="9">
        <f t="shared" si="3"/>
        <v>2.4737167594310805E-3</v>
      </c>
      <c r="AA56" s="9">
        <f t="shared" si="4"/>
        <v>3.548196333530422E-3</v>
      </c>
      <c r="AB56" s="9">
        <f t="shared" si="5"/>
        <v>6.5274151436031337E-3</v>
      </c>
      <c r="AC56" s="9">
        <f t="shared" si="6"/>
        <v>-4.7732696897373689E-3</v>
      </c>
      <c r="AD56" s="9">
        <f t="shared" si="7"/>
        <v>2.5188916876572875E-3</v>
      </c>
      <c r="AE56" s="9">
        <f t="shared" si="8"/>
        <v>6.2073246430788334E-3</v>
      </c>
    </row>
    <row r="57" spans="2:31" x14ac:dyDescent="0.35">
      <c r="B57" s="15" t="s">
        <v>30</v>
      </c>
      <c r="C57" s="15">
        <v>2021</v>
      </c>
      <c r="D57" s="15" t="s">
        <v>40</v>
      </c>
      <c r="E57" s="15">
        <v>145.1</v>
      </c>
      <c r="F57" s="15">
        <v>204.5</v>
      </c>
      <c r="G57" s="15">
        <v>180.4</v>
      </c>
      <c r="H57" s="15">
        <v>157.1</v>
      </c>
      <c r="I57" s="15">
        <v>188.7</v>
      </c>
      <c r="J57" s="15">
        <v>157.69999999999999</v>
      </c>
      <c r="K57" s="15">
        <v>152.80000000000001</v>
      </c>
      <c r="L57" s="15">
        <v>163.6</v>
      </c>
      <c r="M57" s="15">
        <v>169.7</v>
      </c>
      <c r="N57" s="15">
        <f t="shared" si="1"/>
        <v>1519.6</v>
      </c>
      <c r="O57" s="15">
        <v>162.5</v>
      </c>
      <c r="P57" s="15">
        <v>170.4</v>
      </c>
      <c r="Q57" s="15">
        <v>157.1</v>
      </c>
      <c r="R57" s="15">
        <v>167.2</v>
      </c>
      <c r="S57" s="15">
        <v>160.30000000000001</v>
      </c>
      <c r="T57" s="15">
        <v>163.19999999999999</v>
      </c>
      <c r="V57" s="15">
        <v>2021</v>
      </c>
      <c r="W57" s="15" t="s">
        <v>40</v>
      </c>
      <c r="X57" s="15" t="str">
        <f t="shared" si="0"/>
        <v>July 2021</v>
      </c>
      <c r="Y57" s="9">
        <f t="shared" si="2"/>
        <v>6.1577170098655598E-3</v>
      </c>
      <c r="Z57" s="9">
        <f t="shared" si="3"/>
        <v>2.4676125848242178E-3</v>
      </c>
      <c r="AA57" s="9">
        <f t="shared" si="4"/>
        <v>4.1249263406011611E-3</v>
      </c>
      <c r="AB57" s="9">
        <f t="shared" si="5"/>
        <v>1.8806744487678377E-2</v>
      </c>
      <c r="AC57" s="9">
        <f t="shared" si="6"/>
        <v>2.3980815347720459E-3</v>
      </c>
      <c r="AD57" s="9">
        <f t="shared" si="7"/>
        <v>6.9095477386936109E-3</v>
      </c>
      <c r="AE57" s="9">
        <f t="shared" si="8"/>
        <v>6.7859346082664671E-3</v>
      </c>
    </row>
    <row r="58" spans="2:31" x14ac:dyDescent="0.35">
      <c r="B58" s="15" t="s">
        <v>30</v>
      </c>
      <c r="C58" s="15">
        <v>2021</v>
      </c>
      <c r="D58" s="15" t="s">
        <v>41</v>
      </c>
      <c r="E58" s="15">
        <v>144.9</v>
      </c>
      <c r="F58" s="15">
        <v>202.3</v>
      </c>
      <c r="G58" s="15">
        <v>176.5</v>
      </c>
      <c r="H58" s="15">
        <v>157.5</v>
      </c>
      <c r="I58" s="15">
        <v>190.9</v>
      </c>
      <c r="J58" s="15">
        <v>155.69999999999999</v>
      </c>
      <c r="K58" s="15">
        <v>153.9</v>
      </c>
      <c r="L58" s="15">
        <v>162.80000000000001</v>
      </c>
      <c r="M58" s="15">
        <v>169.8</v>
      </c>
      <c r="N58" s="15">
        <f t="shared" si="1"/>
        <v>1514.3</v>
      </c>
      <c r="O58" s="15">
        <v>163.1</v>
      </c>
      <c r="P58" s="15">
        <v>171.1</v>
      </c>
      <c r="Q58" s="15">
        <v>157.69999999999999</v>
      </c>
      <c r="R58" s="15">
        <v>167.5</v>
      </c>
      <c r="S58" s="15">
        <v>160.9</v>
      </c>
      <c r="T58" s="15">
        <v>163.6</v>
      </c>
      <c r="V58" s="15">
        <v>2021</v>
      </c>
      <c r="W58" s="15" t="s">
        <v>41</v>
      </c>
      <c r="X58" s="15" t="str">
        <f t="shared" si="0"/>
        <v>August 2021</v>
      </c>
      <c r="Y58" s="9">
        <f t="shared" si="2"/>
        <v>-3.4877599368254505E-3</v>
      </c>
      <c r="Z58" s="9">
        <f t="shared" si="3"/>
        <v>3.6923076923076575E-3</v>
      </c>
      <c r="AA58" s="9">
        <f t="shared" si="4"/>
        <v>4.1079812206572105E-3</v>
      </c>
      <c r="AB58" s="9">
        <f t="shared" si="5"/>
        <v>3.8192234245703013E-3</v>
      </c>
      <c r="AC58" s="9">
        <f t="shared" si="6"/>
        <v>1.7942583732058098E-3</v>
      </c>
      <c r="AD58" s="9">
        <f t="shared" si="7"/>
        <v>3.742981908920738E-3</v>
      </c>
      <c r="AE58" s="9">
        <f t="shared" si="8"/>
        <v>2.4509803921568978E-3</v>
      </c>
    </row>
    <row r="59" spans="2:31" x14ac:dyDescent="0.35">
      <c r="B59" s="15" t="s">
        <v>30</v>
      </c>
      <c r="C59" s="15">
        <v>2021</v>
      </c>
      <c r="D59" s="15" t="s">
        <v>42</v>
      </c>
      <c r="E59" s="15">
        <v>145.4</v>
      </c>
      <c r="F59" s="15">
        <v>202.1</v>
      </c>
      <c r="G59" s="15">
        <v>172</v>
      </c>
      <c r="H59" s="15">
        <v>158</v>
      </c>
      <c r="I59" s="15">
        <v>195.5</v>
      </c>
      <c r="J59" s="15">
        <v>152.69999999999999</v>
      </c>
      <c r="K59" s="15">
        <v>151.4</v>
      </c>
      <c r="L59" s="15">
        <v>163.9</v>
      </c>
      <c r="M59" s="15">
        <v>170.1</v>
      </c>
      <c r="N59" s="15">
        <f t="shared" si="1"/>
        <v>1511.1000000000001</v>
      </c>
      <c r="O59" s="15">
        <v>163.69999999999999</v>
      </c>
      <c r="P59" s="15">
        <v>171.9</v>
      </c>
      <c r="Q59" s="15">
        <v>157.80000000000001</v>
      </c>
      <c r="R59" s="15">
        <v>168.5</v>
      </c>
      <c r="S59" s="15">
        <v>161.30000000000001</v>
      </c>
      <c r="T59" s="15">
        <v>164</v>
      </c>
      <c r="V59" s="15">
        <v>2021</v>
      </c>
      <c r="W59" s="15" t="s">
        <v>42</v>
      </c>
      <c r="X59" s="15" t="str">
        <f t="shared" si="0"/>
        <v>September 2021</v>
      </c>
      <c r="Y59" s="9">
        <f t="shared" si="2"/>
        <v>-2.1131876114375077E-3</v>
      </c>
      <c r="Z59" s="9">
        <f t="shared" si="3"/>
        <v>3.6787247087675923E-3</v>
      </c>
      <c r="AA59" s="9">
        <f t="shared" si="4"/>
        <v>4.6756282875512062E-3</v>
      </c>
      <c r="AB59" s="9">
        <f t="shared" si="5"/>
        <v>6.3411540900458301E-4</v>
      </c>
      <c r="AC59" s="9">
        <f t="shared" si="6"/>
        <v>5.9701492537313433E-3</v>
      </c>
      <c r="AD59" s="9">
        <f t="shared" si="7"/>
        <v>2.4860161591050696E-3</v>
      </c>
      <c r="AE59" s="9">
        <f t="shared" si="8"/>
        <v>2.4449877750611594E-3</v>
      </c>
    </row>
    <row r="60" spans="2:31" x14ac:dyDescent="0.35">
      <c r="B60" s="15" t="s">
        <v>30</v>
      </c>
      <c r="C60" s="15">
        <v>2021</v>
      </c>
      <c r="D60" s="15" t="s">
        <v>43</v>
      </c>
      <c r="E60" s="15">
        <v>146.1</v>
      </c>
      <c r="F60" s="15">
        <v>202.5</v>
      </c>
      <c r="G60" s="15">
        <v>170.1</v>
      </c>
      <c r="H60" s="15">
        <v>158.4</v>
      </c>
      <c r="I60" s="15">
        <v>198.8</v>
      </c>
      <c r="J60" s="15">
        <v>152.6</v>
      </c>
      <c r="K60" s="15">
        <v>170.4</v>
      </c>
      <c r="L60" s="15">
        <v>165.2</v>
      </c>
      <c r="M60" s="15">
        <v>170.6</v>
      </c>
      <c r="N60" s="15">
        <f t="shared" si="1"/>
        <v>1534.7</v>
      </c>
      <c r="O60" s="15">
        <v>165.5</v>
      </c>
      <c r="P60" s="15">
        <v>172.5</v>
      </c>
      <c r="Q60" s="15">
        <v>159.5</v>
      </c>
      <c r="R60" s="15">
        <v>169</v>
      </c>
      <c r="S60" s="15">
        <v>162</v>
      </c>
      <c r="T60" s="15">
        <v>166.3</v>
      </c>
      <c r="V60" s="15">
        <v>2021</v>
      </c>
      <c r="W60" s="15" t="s">
        <v>43</v>
      </c>
      <c r="X60" s="15" t="str">
        <f t="shared" si="0"/>
        <v>October 2021</v>
      </c>
      <c r="Y60" s="9">
        <f t="shared" si="2"/>
        <v>1.5617761895307992E-2</v>
      </c>
      <c r="Z60" s="9">
        <f t="shared" si="3"/>
        <v>1.0995723885155843E-2</v>
      </c>
      <c r="AA60" s="9">
        <f t="shared" si="4"/>
        <v>3.4904013961605251E-3</v>
      </c>
      <c r="AB60" s="9">
        <f t="shared" si="5"/>
        <v>1.0773130544993591E-2</v>
      </c>
      <c r="AC60" s="9">
        <f t="shared" si="6"/>
        <v>2.967359050445104E-3</v>
      </c>
      <c r="AD60" s="9">
        <f t="shared" si="7"/>
        <v>4.3397396156229914E-3</v>
      </c>
      <c r="AE60" s="9">
        <f t="shared" si="8"/>
        <v>1.4024390243902509E-2</v>
      </c>
    </row>
    <row r="61" spans="2:31" x14ac:dyDescent="0.35">
      <c r="B61" s="15" t="s">
        <v>30</v>
      </c>
      <c r="C61" s="15">
        <v>2021</v>
      </c>
      <c r="D61" s="15" t="s">
        <v>45</v>
      </c>
      <c r="E61" s="15">
        <v>146.9</v>
      </c>
      <c r="F61" s="15">
        <v>199.8</v>
      </c>
      <c r="G61" s="15">
        <v>171.5</v>
      </c>
      <c r="H61" s="15">
        <v>159.1</v>
      </c>
      <c r="I61" s="15">
        <v>198.4</v>
      </c>
      <c r="J61" s="15">
        <v>153.19999999999999</v>
      </c>
      <c r="K61" s="15">
        <v>183.9</v>
      </c>
      <c r="L61" s="15">
        <v>165.4</v>
      </c>
      <c r="M61" s="15">
        <v>170.8</v>
      </c>
      <c r="N61" s="15">
        <f t="shared" si="1"/>
        <v>1549.0000000000002</v>
      </c>
      <c r="O61" s="15">
        <v>165.3</v>
      </c>
      <c r="P61" s="15">
        <v>173.4</v>
      </c>
      <c r="Q61" s="15">
        <v>158.9</v>
      </c>
      <c r="R61" s="15">
        <v>169.3</v>
      </c>
      <c r="S61" s="15">
        <v>162.9</v>
      </c>
      <c r="T61" s="15">
        <v>167.6</v>
      </c>
      <c r="V61" s="15">
        <v>2021</v>
      </c>
      <c r="W61" s="15" t="s">
        <v>45</v>
      </c>
      <c r="X61" s="15" t="str">
        <f t="shared" si="0"/>
        <v>November 2021</v>
      </c>
      <c r="Y61" s="9">
        <f t="shared" si="2"/>
        <v>9.3177819769337204E-3</v>
      </c>
      <c r="Z61" s="9">
        <f t="shared" si="3"/>
        <v>-1.2084592145014418E-3</v>
      </c>
      <c r="AA61" s="9">
        <f t="shared" si="4"/>
        <v>5.2173913043478595E-3</v>
      </c>
      <c r="AB61" s="9">
        <f t="shared" si="5"/>
        <v>-3.7617554858933814E-3</v>
      </c>
      <c r="AC61" s="9">
        <f t="shared" si="6"/>
        <v>1.7751479289941502E-3</v>
      </c>
      <c r="AD61" s="9">
        <f t="shared" si="7"/>
        <v>5.5555555555555905E-3</v>
      </c>
      <c r="AE61" s="9">
        <f t="shared" si="8"/>
        <v>7.8171978352374188E-3</v>
      </c>
    </row>
    <row r="62" spans="2:31" x14ac:dyDescent="0.35">
      <c r="B62" s="15" t="s">
        <v>30</v>
      </c>
      <c r="C62" s="15">
        <v>2021</v>
      </c>
      <c r="D62" s="15" t="s">
        <v>46</v>
      </c>
      <c r="E62" s="15">
        <v>147.4</v>
      </c>
      <c r="F62" s="15">
        <v>197</v>
      </c>
      <c r="G62" s="15">
        <v>176.5</v>
      </c>
      <c r="H62" s="15">
        <v>159.80000000000001</v>
      </c>
      <c r="I62" s="15">
        <v>195.8</v>
      </c>
      <c r="J62" s="15">
        <v>152</v>
      </c>
      <c r="K62" s="15">
        <v>172.3</v>
      </c>
      <c r="L62" s="15">
        <v>164.5</v>
      </c>
      <c r="M62" s="15">
        <v>171.7</v>
      </c>
      <c r="N62" s="15">
        <f t="shared" si="1"/>
        <v>1537</v>
      </c>
      <c r="O62" s="15">
        <v>165.6</v>
      </c>
      <c r="P62" s="15">
        <v>174</v>
      </c>
      <c r="Q62" s="15">
        <v>160.1</v>
      </c>
      <c r="R62" s="15">
        <v>169.7</v>
      </c>
      <c r="S62" s="15">
        <v>163.9</v>
      </c>
      <c r="T62" s="15">
        <v>167</v>
      </c>
      <c r="V62" s="15">
        <v>2021</v>
      </c>
      <c r="W62" s="15" t="s">
        <v>46</v>
      </c>
      <c r="X62" s="15" t="str">
        <f t="shared" si="0"/>
        <v>December 2021</v>
      </c>
      <c r="Y62" s="9">
        <f t="shared" si="2"/>
        <v>-7.7469335054875573E-3</v>
      </c>
      <c r="Z62" s="9">
        <f t="shared" si="3"/>
        <v>1.8148820326677733E-3</v>
      </c>
      <c r="AA62" s="9">
        <f t="shared" si="4"/>
        <v>3.4602076124567146E-3</v>
      </c>
      <c r="AB62" s="9">
        <f t="shared" si="5"/>
        <v>7.551919446192502E-3</v>
      </c>
      <c r="AC62" s="9">
        <f t="shared" si="6"/>
        <v>2.3626698168929547E-3</v>
      </c>
      <c r="AD62" s="9">
        <f t="shared" si="7"/>
        <v>6.1387354205033762E-3</v>
      </c>
      <c r="AE62" s="9">
        <f t="shared" si="8"/>
        <v>-3.579952267303069E-3</v>
      </c>
    </row>
    <row r="63" spans="2:31" x14ac:dyDescent="0.35">
      <c r="B63" s="15" t="s">
        <v>30</v>
      </c>
      <c r="C63" s="15">
        <v>2022</v>
      </c>
      <c r="D63" s="15" t="s">
        <v>31</v>
      </c>
      <c r="E63" s="15">
        <v>148.30000000000001</v>
      </c>
      <c r="F63" s="15">
        <v>196.9</v>
      </c>
      <c r="G63" s="15">
        <v>178</v>
      </c>
      <c r="H63" s="15">
        <v>160.5</v>
      </c>
      <c r="I63" s="15">
        <v>192.6</v>
      </c>
      <c r="J63" s="15">
        <v>151.19999999999999</v>
      </c>
      <c r="K63" s="15">
        <v>159.19999999999999</v>
      </c>
      <c r="L63" s="15">
        <v>164</v>
      </c>
      <c r="M63" s="15">
        <v>173.3</v>
      </c>
      <c r="N63" s="15">
        <f t="shared" si="1"/>
        <v>1524</v>
      </c>
      <c r="O63" s="15">
        <v>165.8</v>
      </c>
      <c r="P63" s="15">
        <v>174.7</v>
      </c>
      <c r="Q63" s="15">
        <v>160.80000000000001</v>
      </c>
      <c r="R63" s="15">
        <v>169.9</v>
      </c>
      <c r="S63" s="15">
        <v>164.9</v>
      </c>
      <c r="T63" s="15">
        <v>166.4</v>
      </c>
      <c r="V63" s="15">
        <v>2022</v>
      </c>
      <c r="W63" s="15" t="s">
        <v>31</v>
      </c>
      <c r="X63" s="15" t="str">
        <f t="shared" si="0"/>
        <v>January 2022</v>
      </c>
      <c r="Y63" s="9">
        <f t="shared" si="2"/>
        <v>-8.4580351333767081E-3</v>
      </c>
      <c r="Z63" s="9">
        <f t="shared" si="3"/>
        <v>1.2077294685991368E-3</v>
      </c>
      <c r="AA63" s="9">
        <f t="shared" si="4"/>
        <v>4.0229885057470613E-3</v>
      </c>
      <c r="AB63" s="9">
        <f t="shared" si="5"/>
        <v>4.3722673329170333E-3</v>
      </c>
      <c r="AC63" s="9">
        <f t="shared" si="6"/>
        <v>1.1785503830289751E-3</v>
      </c>
      <c r="AD63" s="9">
        <f t="shared" si="7"/>
        <v>6.1012812690665035E-3</v>
      </c>
      <c r="AE63" s="9">
        <f t="shared" si="8"/>
        <v>-3.5928143712574512E-3</v>
      </c>
    </row>
    <row r="64" spans="2:31" x14ac:dyDescent="0.35">
      <c r="B64" s="15" t="s">
        <v>30</v>
      </c>
      <c r="C64" s="15">
        <v>2022</v>
      </c>
      <c r="D64" s="15" t="s">
        <v>35</v>
      </c>
      <c r="E64" s="15">
        <v>148.80000000000001</v>
      </c>
      <c r="F64" s="15">
        <v>198.1</v>
      </c>
      <c r="G64" s="15">
        <v>175.5</v>
      </c>
      <c r="H64" s="15">
        <v>160.69999999999999</v>
      </c>
      <c r="I64" s="15">
        <v>192.6</v>
      </c>
      <c r="J64" s="15">
        <v>151.4</v>
      </c>
      <c r="K64" s="15">
        <v>155.19999999999999</v>
      </c>
      <c r="L64" s="15">
        <v>163.9</v>
      </c>
      <c r="M64" s="15">
        <v>175.4</v>
      </c>
      <c r="N64" s="15">
        <f t="shared" si="1"/>
        <v>1521.6000000000001</v>
      </c>
      <c r="O64" s="15">
        <v>167.4</v>
      </c>
      <c r="P64" s="15">
        <v>175.3</v>
      </c>
      <c r="Q64" s="15">
        <v>161.19999999999999</v>
      </c>
      <c r="R64" s="15">
        <v>170.3</v>
      </c>
      <c r="S64" s="15">
        <v>165.7</v>
      </c>
      <c r="T64" s="15">
        <v>166.7</v>
      </c>
      <c r="V64" s="15">
        <v>2022</v>
      </c>
      <c r="W64" s="15" t="s">
        <v>35</v>
      </c>
      <c r="X64" s="15" t="str">
        <f t="shared" si="0"/>
        <v>February 2022</v>
      </c>
      <c r="Y64" s="9">
        <f t="shared" si="2"/>
        <v>-1.5748031496062096E-3</v>
      </c>
      <c r="Z64" s="9">
        <f t="shared" si="3"/>
        <v>9.6501809408926064E-3</v>
      </c>
      <c r="AA64" s="9">
        <f t="shared" si="4"/>
        <v>3.4344590726961806E-3</v>
      </c>
      <c r="AB64" s="9">
        <f t="shared" si="5"/>
        <v>2.4875621890545849E-3</v>
      </c>
      <c r="AC64" s="9">
        <f t="shared" si="6"/>
        <v>2.3543260741613046E-3</v>
      </c>
      <c r="AD64" s="9">
        <f t="shared" si="7"/>
        <v>4.8514251061248202E-3</v>
      </c>
      <c r="AE64" s="9">
        <f t="shared" si="8"/>
        <v>1.8028846153845129E-3</v>
      </c>
    </row>
    <row r="65" spans="2:31" x14ac:dyDescent="0.35">
      <c r="B65" s="15" t="s">
        <v>30</v>
      </c>
      <c r="C65" s="15">
        <v>2022</v>
      </c>
      <c r="D65" s="15" t="s">
        <v>36</v>
      </c>
      <c r="E65" s="15">
        <v>150.19999999999999</v>
      </c>
      <c r="F65" s="15">
        <v>208</v>
      </c>
      <c r="G65" s="15">
        <v>167.9</v>
      </c>
      <c r="H65" s="15">
        <v>162</v>
      </c>
      <c r="I65" s="15">
        <v>203.1</v>
      </c>
      <c r="J65" s="15">
        <v>155.9</v>
      </c>
      <c r="K65" s="15">
        <v>155.80000000000001</v>
      </c>
      <c r="L65" s="15">
        <v>164.2</v>
      </c>
      <c r="M65" s="15">
        <v>178.7</v>
      </c>
      <c r="N65" s="15">
        <f t="shared" si="1"/>
        <v>1545.8000000000002</v>
      </c>
      <c r="O65" s="15">
        <v>168.9</v>
      </c>
      <c r="P65" s="15">
        <v>176</v>
      </c>
      <c r="Q65" s="15">
        <v>162</v>
      </c>
      <c r="R65" s="15">
        <v>170.6</v>
      </c>
      <c r="S65" s="15">
        <v>166.5</v>
      </c>
      <c r="T65" s="15">
        <v>168.7</v>
      </c>
      <c r="V65" s="15">
        <v>2022</v>
      </c>
      <c r="W65" s="15" t="s">
        <v>36</v>
      </c>
      <c r="X65" s="15" t="str">
        <f t="shared" si="0"/>
        <v>March 2022</v>
      </c>
      <c r="Y65" s="9">
        <f t="shared" si="2"/>
        <v>1.5904311251314435E-2</v>
      </c>
      <c r="Z65" s="9">
        <f t="shared" si="3"/>
        <v>8.9605734767025085E-3</v>
      </c>
      <c r="AA65" s="9">
        <f t="shared" si="4"/>
        <v>3.9931545921277154E-3</v>
      </c>
      <c r="AB65" s="9">
        <f t="shared" si="5"/>
        <v>4.9627791563276145E-3</v>
      </c>
      <c r="AC65" s="9">
        <f t="shared" si="6"/>
        <v>1.7615971814444094E-3</v>
      </c>
      <c r="AD65" s="9">
        <f t="shared" si="7"/>
        <v>4.8280024140012756E-3</v>
      </c>
      <c r="AE65" s="9">
        <f t="shared" si="8"/>
        <v>1.199760047990402E-2</v>
      </c>
    </row>
    <row r="66" spans="2:31" x14ac:dyDescent="0.35">
      <c r="B66" s="15" t="s">
        <v>30</v>
      </c>
      <c r="C66" s="15">
        <v>2022</v>
      </c>
      <c r="D66" s="15" t="s">
        <v>37</v>
      </c>
      <c r="E66" s="15">
        <v>151.80000000000001</v>
      </c>
      <c r="F66" s="15">
        <v>209.7</v>
      </c>
      <c r="G66" s="15">
        <v>164.5</v>
      </c>
      <c r="H66" s="15">
        <v>163.80000000000001</v>
      </c>
      <c r="I66" s="15">
        <v>207.4</v>
      </c>
      <c r="J66" s="15">
        <v>169.7</v>
      </c>
      <c r="K66" s="15">
        <v>153.6</v>
      </c>
      <c r="L66" s="15">
        <v>165.1</v>
      </c>
      <c r="M66" s="15">
        <v>182.9</v>
      </c>
      <c r="N66" s="15">
        <f t="shared" si="1"/>
        <v>1568.4999999999998</v>
      </c>
      <c r="O66" s="15">
        <v>173.3</v>
      </c>
      <c r="P66" s="15">
        <v>177</v>
      </c>
      <c r="Q66" s="15">
        <v>166.2</v>
      </c>
      <c r="R66" s="15">
        <v>170.9</v>
      </c>
      <c r="S66" s="15">
        <v>167.7</v>
      </c>
      <c r="T66" s="15">
        <v>170.8</v>
      </c>
      <c r="V66" s="15">
        <v>2022</v>
      </c>
      <c r="W66" s="15" t="s">
        <v>37</v>
      </c>
      <c r="X66" s="15" t="str">
        <f t="shared" si="0"/>
        <v>April 2022</v>
      </c>
      <c r="Y66" s="9">
        <f t="shared" si="2"/>
        <v>1.4684952775261734E-2</v>
      </c>
      <c r="Z66" s="9">
        <f t="shared" si="3"/>
        <v>2.6050917702782745E-2</v>
      </c>
      <c r="AA66" s="9">
        <f t="shared" si="4"/>
        <v>5.681818181818182E-3</v>
      </c>
      <c r="AB66" s="9">
        <f t="shared" si="5"/>
        <v>2.5925925925925856E-2</v>
      </c>
      <c r="AC66" s="9">
        <f t="shared" si="6"/>
        <v>1.7584994138335954E-3</v>
      </c>
      <c r="AD66" s="9">
        <f t="shared" si="7"/>
        <v>7.2072072072071388E-3</v>
      </c>
      <c r="AE66" s="9">
        <f t="shared" si="8"/>
        <v>1.2448132780083124E-2</v>
      </c>
    </row>
    <row r="67" spans="2:31" x14ac:dyDescent="0.35">
      <c r="B67" s="15" t="s">
        <v>30</v>
      </c>
      <c r="C67" s="15">
        <v>2022</v>
      </c>
      <c r="D67" s="15" t="s">
        <v>38</v>
      </c>
      <c r="E67" s="15">
        <v>152.9</v>
      </c>
      <c r="F67" s="15">
        <v>214.7</v>
      </c>
      <c r="G67" s="15">
        <v>161.4</v>
      </c>
      <c r="H67" s="15">
        <v>164.6</v>
      </c>
      <c r="I67" s="15">
        <v>209.9</v>
      </c>
      <c r="J67" s="15">
        <v>168</v>
      </c>
      <c r="K67" s="15">
        <v>160.4</v>
      </c>
      <c r="L67" s="15">
        <v>165</v>
      </c>
      <c r="M67" s="15">
        <v>186.6</v>
      </c>
      <c r="N67" s="15">
        <f t="shared" si="1"/>
        <v>1583.5</v>
      </c>
      <c r="O67" s="15">
        <v>175.3</v>
      </c>
      <c r="P67" s="15">
        <v>177.7</v>
      </c>
      <c r="Q67" s="15">
        <v>167.1</v>
      </c>
      <c r="R67" s="15">
        <v>171.8</v>
      </c>
      <c r="S67" s="15">
        <v>168.9</v>
      </c>
      <c r="T67" s="15">
        <v>172.5</v>
      </c>
      <c r="V67" s="15">
        <v>2022</v>
      </c>
      <c r="W67" s="15" t="s">
        <v>38</v>
      </c>
      <c r="X67" s="15" t="str">
        <f t="shared" si="0"/>
        <v>May 2022</v>
      </c>
      <c r="Y67" s="9">
        <f t="shared" si="2"/>
        <v>9.5632770162577176E-3</v>
      </c>
      <c r="Z67" s="9">
        <f t="shared" si="3"/>
        <v>1.1540680900173109E-2</v>
      </c>
      <c r="AA67" s="9">
        <f t="shared" si="4"/>
        <v>3.9548022598869413E-3</v>
      </c>
      <c r="AB67" s="9">
        <f t="shared" si="5"/>
        <v>5.4151624548736807E-3</v>
      </c>
      <c r="AC67" s="9">
        <f t="shared" si="6"/>
        <v>5.2662375658280025E-3</v>
      </c>
      <c r="AD67" s="9">
        <f t="shared" si="7"/>
        <v>7.1556350626119092E-3</v>
      </c>
      <c r="AE67" s="9">
        <f t="shared" si="8"/>
        <v>9.9531615925057878E-3</v>
      </c>
    </row>
    <row r="68" spans="2:31" x14ac:dyDescent="0.35">
      <c r="B68" s="15" t="s">
        <v>30</v>
      </c>
      <c r="C68" s="15">
        <v>2022</v>
      </c>
      <c r="D68" s="15" t="s">
        <v>39</v>
      </c>
      <c r="E68" s="15">
        <v>153.80000000000001</v>
      </c>
      <c r="F68" s="15">
        <v>217.2</v>
      </c>
      <c r="G68" s="15">
        <v>169.6</v>
      </c>
      <c r="H68" s="15">
        <v>165.4</v>
      </c>
      <c r="I68" s="15">
        <v>208.1</v>
      </c>
      <c r="J68" s="15">
        <v>165.8</v>
      </c>
      <c r="K68" s="15">
        <v>167.3</v>
      </c>
      <c r="L68" s="15">
        <v>164.6</v>
      </c>
      <c r="M68" s="15">
        <v>188.9</v>
      </c>
      <c r="N68" s="15">
        <f t="shared" si="1"/>
        <v>1600.7</v>
      </c>
      <c r="O68" s="15">
        <v>176.7</v>
      </c>
      <c r="P68" s="15">
        <v>178.2</v>
      </c>
      <c r="Q68" s="15">
        <v>165.5</v>
      </c>
      <c r="R68" s="15">
        <v>172.6</v>
      </c>
      <c r="S68" s="15">
        <v>170.3</v>
      </c>
      <c r="T68" s="15">
        <v>173.6</v>
      </c>
      <c r="V68" s="15">
        <v>2022</v>
      </c>
      <c r="W68" s="15" t="s">
        <v>39</v>
      </c>
      <c r="X68" s="15" t="str">
        <f t="shared" si="0"/>
        <v>June 2022</v>
      </c>
      <c r="Y68" s="9">
        <f t="shared" si="2"/>
        <v>1.0862014524786892E-2</v>
      </c>
      <c r="Z68" s="9">
        <f t="shared" si="3"/>
        <v>7.9863091842554308E-3</v>
      </c>
      <c r="AA68" s="9">
        <f t="shared" si="4"/>
        <v>2.8137310073157009E-3</v>
      </c>
      <c r="AB68" s="9">
        <f t="shared" si="5"/>
        <v>-9.5751047277079261E-3</v>
      </c>
      <c r="AC68" s="9">
        <f t="shared" si="6"/>
        <v>4.6565774155994345E-3</v>
      </c>
      <c r="AD68" s="9">
        <f t="shared" si="7"/>
        <v>8.28892835997635E-3</v>
      </c>
      <c r="AE68" s="9">
        <f t="shared" si="8"/>
        <v>6.3768115942028653E-3</v>
      </c>
    </row>
    <row r="69" spans="2:31" x14ac:dyDescent="0.35">
      <c r="B69" s="15" t="s">
        <v>30</v>
      </c>
      <c r="C69" s="15">
        <v>2022</v>
      </c>
      <c r="D69" s="15" t="s">
        <v>40</v>
      </c>
      <c r="E69" s="15">
        <v>155.19999999999999</v>
      </c>
      <c r="F69" s="15">
        <v>210.8</v>
      </c>
      <c r="G69" s="15">
        <v>174.3</v>
      </c>
      <c r="H69" s="15">
        <v>166.3</v>
      </c>
      <c r="I69" s="15">
        <v>202.2</v>
      </c>
      <c r="J69" s="15">
        <v>169.6</v>
      </c>
      <c r="K69" s="15">
        <v>168.6</v>
      </c>
      <c r="L69" s="15">
        <v>164.4</v>
      </c>
      <c r="M69" s="15">
        <v>191.8</v>
      </c>
      <c r="N69" s="15">
        <f t="shared" si="1"/>
        <v>1603.1999999999998</v>
      </c>
      <c r="O69" s="15">
        <v>179.6</v>
      </c>
      <c r="P69" s="15">
        <v>178.8</v>
      </c>
      <c r="Q69" s="15">
        <v>166.3</v>
      </c>
      <c r="R69" s="15">
        <v>174.7</v>
      </c>
      <c r="S69" s="15">
        <v>171.3</v>
      </c>
      <c r="T69" s="15">
        <v>174.3</v>
      </c>
      <c r="V69" s="15">
        <v>2022</v>
      </c>
      <c r="W69" s="15" t="s">
        <v>40</v>
      </c>
      <c r="X69" s="15" t="str">
        <f t="shared" ref="X69:X79" si="9">_xlfn.CONCAT(W69," ",V69)</f>
        <v>July 2022</v>
      </c>
      <c r="Y69" s="9">
        <f t="shared" si="2"/>
        <v>1.5618167051913367E-3</v>
      </c>
      <c r="Z69" s="9">
        <f t="shared" si="3"/>
        <v>1.6411997736276208E-2</v>
      </c>
      <c r="AA69" s="9">
        <f t="shared" si="4"/>
        <v>3.3670033670034948E-3</v>
      </c>
      <c r="AB69" s="9">
        <f t="shared" si="5"/>
        <v>4.8338368580061108E-3</v>
      </c>
      <c r="AC69" s="9">
        <f t="shared" si="6"/>
        <v>1.2166859791425228E-2</v>
      </c>
      <c r="AD69" s="9">
        <f t="shared" si="7"/>
        <v>5.8719906048150319E-3</v>
      </c>
      <c r="AE69" s="9">
        <f t="shared" si="8"/>
        <v>4.0322580645162278E-3</v>
      </c>
    </row>
    <row r="70" spans="2:31" x14ac:dyDescent="0.35">
      <c r="B70" s="15" t="s">
        <v>30</v>
      </c>
      <c r="C70" s="15">
        <v>2022</v>
      </c>
      <c r="D70" s="15" t="s">
        <v>41</v>
      </c>
      <c r="E70" s="15">
        <v>159.5</v>
      </c>
      <c r="F70" s="15">
        <v>204.1</v>
      </c>
      <c r="G70" s="15">
        <v>168.3</v>
      </c>
      <c r="H70" s="15">
        <v>167.9</v>
      </c>
      <c r="I70" s="15">
        <v>198.1</v>
      </c>
      <c r="J70" s="15">
        <v>169.2</v>
      </c>
      <c r="K70" s="15">
        <v>173.1</v>
      </c>
      <c r="L70" s="15">
        <v>167.1</v>
      </c>
      <c r="M70" s="15">
        <v>195.6</v>
      </c>
      <c r="N70" s="15">
        <f t="shared" si="1"/>
        <v>1602.8999999999999</v>
      </c>
      <c r="O70" s="15">
        <v>179.1</v>
      </c>
      <c r="P70" s="15">
        <v>179.4</v>
      </c>
      <c r="Q70" s="15">
        <v>166.6</v>
      </c>
      <c r="R70" s="15">
        <v>175.7</v>
      </c>
      <c r="S70" s="15">
        <v>172.3</v>
      </c>
      <c r="T70" s="15">
        <v>175.3</v>
      </c>
      <c r="V70" s="15">
        <v>2022</v>
      </c>
      <c r="W70" s="15" t="s">
        <v>41</v>
      </c>
      <c r="X70" s="15" t="str">
        <f t="shared" si="9"/>
        <v>August 2022</v>
      </c>
      <c r="Y70" s="9">
        <f t="shared" si="2"/>
        <v>-1.8712574850296567E-4</v>
      </c>
      <c r="Z70" s="9">
        <f t="shared" si="3"/>
        <v>-2.7839643652561247E-3</v>
      </c>
      <c r="AA70" s="9">
        <f t="shared" si="4"/>
        <v>3.355704697986545E-3</v>
      </c>
      <c r="AB70" s="9">
        <f t="shared" si="5"/>
        <v>1.8039687312085564E-3</v>
      </c>
      <c r="AC70" s="9">
        <f t="shared" si="6"/>
        <v>5.7240984544934172E-3</v>
      </c>
      <c r="AD70" s="9">
        <f t="shared" si="7"/>
        <v>5.837711617046118E-3</v>
      </c>
      <c r="AE70" s="9">
        <f t="shared" si="8"/>
        <v>5.737234652897303E-3</v>
      </c>
    </row>
    <row r="71" spans="2:31" x14ac:dyDescent="0.35">
      <c r="B71" s="15" t="s">
        <v>30</v>
      </c>
      <c r="C71" s="15">
        <v>2022</v>
      </c>
      <c r="D71" s="15" t="s">
        <v>42</v>
      </c>
      <c r="E71" s="15">
        <v>162.9</v>
      </c>
      <c r="F71" s="15">
        <v>206.7</v>
      </c>
      <c r="G71" s="15">
        <v>169</v>
      </c>
      <c r="H71" s="15">
        <v>169.5</v>
      </c>
      <c r="I71" s="15">
        <v>194.1</v>
      </c>
      <c r="J71" s="15">
        <v>164.1</v>
      </c>
      <c r="K71" s="15">
        <v>176.9</v>
      </c>
      <c r="L71" s="15">
        <v>169</v>
      </c>
      <c r="M71" s="15">
        <v>199.1</v>
      </c>
      <c r="N71" s="15">
        <f t="shared" ref="N71:N79" si="10">SUM(E71:M71)</f>
        <v>1611.3</v>
      </c>
      <c r="O71" s="15">
        <v>179.7</v>
      </c>
      <c r="P71" s="15">
        <v>180.2</v>
      </c>
      <c r="Q71" s="15">
        <v>166.9</v>
      </c>
      <c r="R71" s="15">
        <v>176.2</v>
      </c>
      <c r="S71" s="15">
        <v>173.6</v>
      </c>
      <c r="T71" s="15">
        <v>176.4</v>
      </c>
      <c r="V71" s="15">
        <v>2022</v>
      </c>
      <c r="W71" s="15" t="s">
        <v>42</v>
      </c>
      <c r="X71" s="15" t="str">
        <f t="shared" si="9"/>
        <v>September 2022</v>
      </c>
      <c r="Y71" s="9">
        <f t="shared" si="2"/>
        <v>5.2405015908666116E-3</v>
      </c>
      <c r="Z71" s="9">
        <f t="shared" si="3"/>
        <v>3.3500837520937707E-3</v>
      </c>
      <c r="AA71" s="9">
        <f t="shared" si="4"/>
        <v>4.4593088071347986E-3</v>
      </c>
      <c r="AB71" s="9">
        <f t="shared" si="5"/>
        <v>1.8007202881153144E-3</v>
      </c>
      <c r="AC71" s="9">
        <f t="shared" si="6"/>
        <v>2.845759817871372E-3</v>
      </c>
      <c r="AD71" s="9">
        <f t="shared" si="7"/>
        <v>7.5449796865930518E-3</v>
      </c>
      <c r="AE71" s="9">
        <f t="shared" si="8"/>
        <v>6.2749572162007659E-3</v>
      </c>
    </row>
    <row r="72" spans="2:31" x14ac:dyDescent="0.35">
      <c r="B72" s="15" t="s">
        <v>30</v>
      </c>
      <c r="C72" s="15">
        <v>2022</v>
      </c>
      <c r="D72" s="15" t="s">
        <v>43</v>
      </c>
      <c r="E72" s="15">
        <v>164.7</v>
      </c>
      <c r="F72" s="15">
        <v>208.8</v>
      </c>
      <c r="G72" s="15">
        <v>170.3</v>
      </c>
      <c r="H72" s="15">
        <v>170.9</v>
      </c>
      <c r="I72" s="15">
        <v>191.6</v>
      </c>
      <c r="J72" s="15">
        <v>162.19999999999999</v>
      </c>
      <c r="K72" s="15">
        <v>184.8</v>
      </c>
      <c r="L72" s="15">
        <v>169.7</v>
      </c>
      <c r="M72" s="15">
        <v>201.6</v>
      </c>
      <c r="N72" s="15">
        <f t="shared" si="10"/>
        <v>1624.6</v>
      </c>
      <c r="O72" s="15">
        <v>180.8</v>
      </c>
      <c r="P72" s="15">
        <v>181.2</v>
      </c>
      <c r="Q72" s="15">
        <v>167.4</v>
      </c>
      <c r="R72" s="15">
        <v>176.5</v>
      </c>
      <c r="S72" s="15">
        <v>174.4</v>
      </c>
      <c r="T72" s="15">
        <v>177.9</v>
      </c>
      <c r="V72" s="15">
        <v>2022</v>
      </c>
      <c r="W72" s="15" t="s">
        <v>43</v>
      </c>
      <c r="X72" s="15" t="str">
        <f t="shared" si="9"/>
        <v>October 2022</v>
      </c>
      <c r="Y72" s="9">
        <f t="shared" ref="Y72:Y79" si="11">($N72-$N71)/$N71</f>
        <v>8.254204679451347E-3</v>
      </c>
      <c r="Z72" s="9">
        <f t="shared" ref="Z72:Z79" si="12">($O72-$O71)/$O71</f>
        <v>6.1213132999444787E-3</v>
      </c>
      <c r="AA72" s="9">
        <f t="shared" ref="AA72:AA79" si="13">($P72-$P71)/$P71</f>
        <v>5.5493895671476145E-3</v>
      </c>
      <c r="AB72" s="9">
        <f t="shared" ref="AB72:AB79" si="14">($Q72-$Q71)/$Q71</f>
        <v>2.9958058717795086E-3</v>
      </c>
      <c r="AC72" s="9">
        <f t="shared" ref="AC72:AC79" si="15">($R72-$R71)/$R71</f>
        <v>1.7026106696935947E-3</v>
      </c>
      <c r="AD72" s="9">
        <f t="shared" ref="AD72:AD79" si="16">($S72-$S71)/$S71</f>
        <v>4.608294930875642E-3</v>
      </c>
      <c r="AE72" s="9">
        <f t="shared" ref="AE72:AE79" si="17">($T72-$T71)/$T71</f>
        <v>8.5034013605442167E-3</v>
      </c>
    </row>
    <row r="73" spans="2:31" x14ac:dyDescent="0.35">
      <c r="B73" s="15" t="s">
        <v>30</v>
      </c>
      <c r="C73" s="15">
        <v>2022</v>
      </c>
      <c r="D73" s="15" t="s">
        <v>45</v>
      </c>
      <c r="E73" s="15">
        <v>166.9</v>
      </c>
      <c r="F73" s="15">
        <v>207.2</v>
      </c>
      <c r="G73" s="15">
        <v>180.2</v>
      </c>
      <c r="H73" s="15">
        <v>172.3</v>
      </c>
      <c r="I73" s="15">
        <v>194</v>
      </c>
      <c r="J73" s="15">
        <v>159.1</v>
      </c>
      <c r="K73" s="15">
        <v>171.6</v>
      </c>
      <c r="L73" s="15">
        <v>170.2</v>
      </c>
      <c r="M73" s="15">
        <v>204.8</v>
      </c>
      <c r="N73" s="15">
        <f t="shared" si="10"/>
        <v>1626.2999999999997</v>
      </c>
      <c r="O73" s="15">
        <v>181.9</v>
      </c>
      <c r="P73" s="15">
        <v>182.3</v>
      </c>
      <c r="Q73" s="15">
        <v>167.5</v>
      </c>
      <c r="R73" s="15">
        <v>176.9</v>
      </c>
      <c r="S73" s="15">
        <v>175.5</v>
      </c>
      <c r="T73" s="15">
        <v>177.8</v>
      </c>
      <c r="V73" s="15">
        <v>2022</v>
      </c>
      <c r="W73" s="15" t="s">
        <v>45</v>
      </c>
      <c r="X73" s="15" t="str">
        <f t="shared" si="9"/>
        <v>November 2022</v>
      </c>
      <c r="Y73" s="9">
        <f t="shared" si="11"/>
        <v>1.0464114243504976E-3</v>
      </c>
      <c r="Z73" s="9">
        <f t="shared" si="12"/>
        <v>6.0840707964601448E-3</v>
      </c>
      <c r="AA73" s="9">
        <f t="shared" si="13"/>
        <v>6.070640176600567E-3</v>
      </c>
      <c r="AB73" s="9">
        <f t="shared" si="14"/>
        <v>5.9737156511346663E-4</v>
      </c>
      <c r="AC73" s="9">
        <f t="shared" si="15"/>
        <v>2.2662889518413921E-3</v>
      </c>
      <c r="AD73" s="9">
        <f t="shared" si="16"/>
        <v>6.3073394495412518E-3</v>
      </c>
      <c r="AE73" s="9">
        <f t="shared" si="17"/>
        <v>-5.6211354693644919E-4</v>
      </c>
    </row>
    <row r="74" spans="2:31" x14ac:dyDescent="0.35">
      <c r="B74" s="15" t="s">
        <v>30</v>
      </c>
      <c r="C74" s="15">
        <v>2022</v>
      </c>
      <c r="D74" s="15" t="s">
        <v>46</v>
      </c>
      <c r="E74" s="15">
        <v>168.8</v>
      </c>
      <c r="F74" s="15">
        <v>206.9</v>
      </c>
      <c r="G74" s="15">
        <v>189.1</v>
      </c>
      <c r="H74" s="15">
        <v>173.4</v>
      </c>
      <c r="I74" s="15">
        <v>193.9</v>
      </c>
      <c r="J74" s="15">
        <v>156.69999999999999</v>
      </c>
      <c r="K74" s="15">
        <v>150.19999999999999</v>
      </c>
      <c r="L74" s="15">
        <v>170.5</v>
      </c>
      <c r="M74" s="15">
        <v>207.5</v>
      </c>
      <c r="N74" s="15">
        <f t="shared" si="10"/>
        <v>1617</v>
      </c>
      <c r="O74" s="15">
        <v>182.8</v>
      </c>
      <c r="P74" s="15">
        <v>183.5</v>
      </c>
      <c r="Q74" s="15">
        <v>167.8</v>
      </c>
      <c r="R74" s="15">
        <v>177.3</v>
      </c>
      <c r="S74" s="15">
        <v>176.4</v>
      </c>
      <c r="T74" s="15">
        <v>177.1</v>
      </c>
      <c r="V74" s="15">
        <v>2022</v>
      </c>
      <c r="W74" s="15" t="s">
        <v>46</v>
      </c>
      <c r="X74" s="15" t="str">
        <f t="shared" si="9"/>
        <v>December 2022</v>
      </c>
      <c r="Y74" s="9">
        <f t="shared" si="11"/>
        <v>-5.7185021213796523E-3</v>
      </c>
      <c r="Z74" s="9">
        <f t="shared" si="12"/>
        <v>4.9477735019241654E-3</v>
      </c>
      <c r="AA74" s="9">
        <f t="shared" si="13"/>
        <v>6.5825562260010346E-3</v>
      </c>
      <c r="AB74" s="9">
        <f t="shared" si="14"/>
        <v>1.7910447761194709E-3</v>
      </c>
      <c r="AC74" s="9">
        <f t="shared" si="15"/>
        <v>2.2611644997173864E-3</v>
      </c>
      <c r="AD74" s="9">
        <f t="shared" si="16"/>
        <v>5.1282051282051603E-3</v>
      </c>
      <c r="AE74" s="9">
        <f t="shared" si="17"/>
        <v>-3.9370078740158434E-3</v>
      </c>
    </row>
    <row r="75" spans="2:31" x14ac:dyDescent="0.35">
      <c r="B75" s="15" t="s">
        <v>30</v>
      </c>
      <c r="C75" s="15">
        <v>2023</v>
      </c>
      <c r="D75" s="15" t="s">
        <v>31</v>
      </c>
      <c r="E75" s="15">
        <v>174</v>
      </c>
      <c r="F75" s="15">
        <v>208.3</v>
      </c>
      <c r="G75" s="15">
        <v>192.9</v>
      </c>
      <c r="H75" s="15">
        <v>174.3</v>
      </c>
      <c r="I75" s="15">
        <v>192.6</v>
      </c>
      <c r="J75" s="15">
        <v>156.30000000000001</v>
      </c>
      <c r="K75" s="15">
        <v>142.9</v>
      </c>
      <c r="L75" s="15">
        <v>170.7</v>
      </c>
      <c r="M75" s="15">
        <v>210.5</v>
      </c>
      <c r="N75" s="15">
        <f t="shared" si="10"/>
        <v>1622.5000000000002</v>
      </c>
      <c r="O75" s="15">
        <v>183.2</v>
      </c>
      <c r="P75" s="15">
        <v>184.7</v>
      </c>
      <c r="Q75" s="15">
        <v>168.2</v>
      </c>
      <c r="R75" s="15">
        <v>177.8</v>
      </c>
      <c r="S75" s="15">
        <v>177.2</v>
      </c>
      <c r="T75" s="15">
        <v>177.8</v>
      </c>
      <c r="V75" s="15">
        <v>2023</v>
      </c>
      <c r="W75" s="15" t="s">
        <v>31</v>
      </c>
      <c r="X75" s="15" t="str">
        <f t="shared" si="9"/>
        <v>January 2023</v>
      </c>
      <c r="Y75" s="9">
        <f t="shared" si="11"/>
        <v>3.4013605442178279E-3</v>
      </c>
      <c r="Z75" s="9">
        <f t="shared" si="12"/>
        <v>2.1881838074397004E-3</v>
      </c>
      <c r="AA75" s="9">
        <f t="shared" si="13"/>
        <v>6.539509536784679E-3</v>
      </c>
      <c r="AB75" s="9">
        <f t="shared" si="14"/>
        <v>2.3837902264599357E-3</v>
      </c>
      <c r="AC75" s="9">
        <f t="shared" si="15"/>
        <v>2.8200789622109417E-3</v>
      </c>
      <c r="AD75" s="9">
        <f t="shared" si="16"/>
        <v>4.5351473922901524E-3</v>
      </c>
      <c r="AE75" s="9">
        <f t="shared" si="17"/>
        <v>3.9525691699605703E-3</v>
      </c>
    </row>
    <row r="76" spans="2:31" x14ac:dyDescent="0.35">
      <c r="B76" s="15" t="s">
        <v>30</v>
      </c>
      <c r="C76" s="15">
        <v>2023</v>
      </c>
      <c r="D76" s="15" t="s">
        <v>35</v>
      </c>
      <c r="E76" s="15">
        <v>174.2</v>
      </c>
      <c r="F76" s="15">
        <v>205.2</v>
      </c>
      <c r="G76" s="15">
        <v>173.9</v>
      </c>
      <c r="H76" s="15">
        <v>177</v>
      </c>
      <c r="I76" s="15">
        <v>183.4</v>
      </c>
      <c r="J76" s="15">
        <v>167.2</v>
      </c>
      <c r="K76" s="15">
        <v>140.9</v>
      </c>
      <c r="L76" s="15">
        <v>170.4</v>
      </c>
      <c r="M76" s="15">
        <v>212.1</v>
      </c>
      <c r="N76" s="15">
        <f t="shared" si="10"/>
        <v>1604.3</v>
      </c>
      <c r="O76" s="15">
        <v>181.6</v>
      </c>
      <c r="P76" s="15">
        <v>186.6</v>
      </c>
      <c r="Q76" s="15">
        <v>169</v>
      </c>
      <c r="R76" s="15">
        <v>178.5</v>
      </c>
      <c r="S76" s="15">
        <v>178.6</v>
      </c>
      <c r="T76" s="15">
        <v>178</v>
      </c>
      <c r="V76" s="15">
        <v>2023</v>
      </c>
      <c r="W76" s="15" t="s">
        <v>35</v>
      </c>
      <c r="X76" s="15" t="str">
        <f t="shared" si="9"/>
        <v>February 2023</v>
      </c>
      <c r="Y76" s="9">
        <f t="shared" si="11"/>
        <v>-1.1217257318952401E-2</v>
      </c>
      <c r="Z76" s="9">
        <f t="shared" si="12"/>
        <v>-8.7336244541484417E-3</v>
      </c>
      <c r="AA76" s="9">
        <f t="shared" si="13"/>
        <v>1.0286951813752061E-2</v>
      </c>
      <c r="AB76" s="9">
        <f t="shared" si="14"/>
        <v>4.756242568371055E-3</v>
      </c>
      <c r="AC76" s="9">
        <f t="shared" si="15"/>
        <v>3.9370078740156838E-3</v>
      </c>
      <c r="AD76" s="9">
        <f t="shared" si="16"/>
        <v>7.9006772009029679E-3</v>
      </c>
      <c r="AE76" s="9">
        <f t="shared" si="17"/>
        <v>1.1248593925758639E-3</v>
      </c>
    </row>
    <row r="77" spans="2:31" x14ac:dyDescent="0.35">
      <c r="B77" s="15" t="s">
        <v>30</v>
      </c>
      <c r="C77" s="15">
        <v>2023</v>
      </c>
      <c r="D77" s="15" t="s">
        <v>36</v>
      </c>
      <c r="E77" s="15">
        <v>174.3</v>
      </c>
      <c r="F77" s="15">
        <v>205.2</v>
      </c>
      <c r="G77" s="15">
        <v>173.9</v>
      </c>
      <c r="H77" s="15">
        <v>177</v>
      </c>
      <c r="I77" s="15">
        <v>183.3</v>
      </c>
      <c r="J77" s="15">
        <v>167.2</v>
      </c>
      <c r="K77" s="15">
        <v>140.9</v>
      </c>
      <c r="L77" s="15">
        <v>170.5</v>
      </c>
      <c r="M77" s="15">
        <v>212.1</v>
      </c>
      <c r="N77" s="15">
        <f t="shared" si="10"/>
        <v>1604.4</v>
      </c>
      <c r="O77" s="15">
        <v>181.4</v>
      </c>
      <c r="P77" s="15">
        <v>186.6</v>
      </c>
      <c r="Q77" s="15">
        <v>169</v>
      </c>
      <c r="R77" s="15">
        <v>178.5</v>
      </c>
      <c r="S77" s="15">
        <v>178.6</v>
      </c>
      <c r="T77" s="15">
        <v>178</v>
      </c>
      <c r="V77" s="15">
        <v>2023</v>
      </c>
      <c r="W77" s="15" t="s">
        <v>36</v>
      </c>
      <c r="X77" s="15" t="str">
        <f t="shared" si="9"/>
        <v>March 2023</v>
      </c>
      <c r="Y77" s="9">
        <f t="shared" si="11"/>
        <v>6.2332481456171804E-5</v>
      </c>
      <c r="Z77" s="9">
        <f t="shared" si="12"/>
        <v>-1.1013215859030211E-3</v>
      </c>
      <c r="AA77" s="9">
        <f t="shared" si="13"/>
        <v>0</v>
      </c>
      <c r="AB77" s="9">
        <f t="shared" si="14"/>
        <v>0</v>
      </c>
      <c r="AC77" s="9">
        <f t="shared" si="15"/>
        <v>0</v>
      </c>
      <c r="AD77" s="9">
        <f t="shared" si="16"/>
        <v>0</v>
      </c>
      <c r="AE77" s="9">
        <f t="shared" si="17"/>
        <v>0</v>
      </c>
    </row>
    <row r="78" spans="2:31" x14ac:dyDescent="0.35">
      <c r="B78" s="15" t="s">
        <v>30</v>
      </c>
      <c r="C78" s="15">
        <v>2023</v>
      </c>
      <c r="D78" s="15" t="s">
        <v>37</v>
      </c>
      <c r="E78" s="15">
        <v>173.3</v>
      </c>
      <c r="F78" s="15">
        <v>206.9</v>
      </c>
      <c r="G78" s="15">
        <v>167.9</v>
      </c>
      <c r="H78" s="15">
        <v>178.2</v>
      </c>
      <c r="I78" s="15">
        <v>178.5</v>
      </c>
      <c r="J78" s="15">
        <v>173.7</v>
      </c>
      <c r="K78" s="15">
        <v>142.80000000000001</v>
      </c>
      <c r="L78" s="15">
        <v>172.8</v>
      </c>
      <c r="M78" s="15">
        <v>215.5</v>
      </c>
      <c r="N78" s="15">
        <f t="shared" si="10"/>
        <v>1609.6</v>
      </c>
      <c r="O78" s="15">
        <v>181.5</v>
      </c>
      <c r="P78" s="15">
        <v>187.2</v>
      </c>
      <c r="Q78" s="15">
        <v>169.4</v>
      </c>
      <c r="R78" s="15">
        <v>179.4</v>
      </c>
      <c r="S78" s="15">
        <v>179.1</v>
      </c>
      <c r="T78" s="15">
        <v>178.8</v>
      </c>
      <c r="V78" s="15">
        <v>2023</v>
      </c>
      <c r="W78" s="15" t="s">
        <v>37</v>
      </c>
      <c r="X78" s="15" t="str">
        <f t="shared" si="9"/>
        <v>April 2023</v>
      </c>
      <c r="Y78" s="9">
        <f t="shared" si="11"/>
        <v>3.2410870107204052E-3</v>
      </c>
      <c r="Z78" s="9">
        <f t="shared" si="12"/>
        <v>5.5126791620724541E-4</v>
      </c>
      <c r="AA78" s="9">
        <f t="shared" si="13"/>
        <v>3.2154340836012558E-3</v>
      </c>
      <c r="AB78" s="9">
        <f t="shared" si="14"/>
        <v>2.3668639053254772E-3</v>
      </c>
      <c r="AC78" s="9">
        <f t="shared" si="15"/>
        <v>5.0420168067227206E-3</v>
      </c>
      <c r="AD78" s="9">
        <f t="shared" si="16"/>
        <v>2.7995520716685329E-3</v>
      </c>
      <c r="AE78" s="9">
        <f t="shared" si="17"/>
        <v>4.4943820224719738E-3</v>
      </c>
    </row>
    <row r="79" spans="2:31" x14ac:dyDescent="0.35">
      <c r="B79" s="15" t="s">
        <v>30</v>
      </c>
      <c r="C79" s="15">
        <v>2023</v>
      </c>
      <c r="D79" s="15" t="s">
        <v>38</v>
      </c>
      <c r="E79" s="15">
        <v>173.2</v>
      </c>
      <c r="F79" s="15">
        <v>211.5</v>
      </c>
      <c r="G79" s="15">
        <v>171</v>
      </c>
      <c r="H79" s="15">
        <v>179.6</v>
      </c>
      <c r="I79" s="15">
        <v>173.3</v>
      </c>
      <c r="J79" s="15">
        <v>169</v>
      </c>
      <c r="K79" s="15">
        <v>148.69999999999999</v>
      </c>
      <c r="L79" s="15">
        <v>174.9</v>
      </c>
      <c r="M79" s="15">
        <v>221</v>
      </c>
      <c r="N79" s="15">
        <f t="shared" si="10"/>
        <v>1622.2000000000003</v>
      </c>
      <c r="O79" s="15">
        <v>182.5</v>
      </c>
      <c r="P79" s="15">
        <v>187.8</v>
      </c>
      <c r="Q79" s="15">
        <v>169.7</v>
      </c>
      <c r="R79" s="15">
        <v>180.3</v>
      </c>
      <c r="S79" s="15">
        <v>179.8</v>
      </c>
      <c r="T79" s="15">
        <v>179.8</v>
      </c>
      <c r="V79" s="15">
        <v>2023</v>
      </c>
      <c r="W79" s="15" t="s">
        <v>38</v>
      </c>
      <c r="X79" s="15" t="str">
        <f t="shared" si="9"/>
        <v>May 2023</v>
      </c>
      <c r="Y79" s="9">
        <f t="shared" si="11"/>
        <v>7.8280318091453558E-3</v>
      </c>
      <c r="Z79" s="9">
        <f t="shared" si="12"/>
        <v>5.5096418732782371E-3</v>
      </c>
      <c r="AA79" s="9">
        <f t="shared" si="13"/>
        <v>3.2051282051283269E-3</v>
      </c>
      <c r="AB79" s="9">
        <f t="shared" si="14"/>
        <v>1.7709563164107611E-3</v>
      </c>
      <c r="AC79" s="9">
        <f t="shared" si="15"/>
        <v>5.0167224080267872E-3</v>
      </c>
      <c r="AD79" s="9">
        <f t="shared" si="16"/>
        <v>3.9084310441095315E-3</v>
      </c>
      <c r="AE79" s="9">
        <f t="shared" si="17"/>
        <v>5.5928411633109614E-3</v>
      </c>
    </row>
  </sheetData>
  <autoFilter ref="B5:T79" xr:uid="{16EE9D65-729D-4A18-B12D-B2A0CFAD8348}"/>
  <mergeCells count="3">
    <mergeCell ref="B3:T4"/>
    <mergeCell ref="V3:AE4"/>
    <mergeCell ref="AG3:AN4"/>
  </mergeCells>
  <pageMargins left="0.7" right="0.7" top="0.75" bottom="0.75" header="0.3" footer="0.3"/>
  <ignoredErrors>
    <ignoredError sqref="AH7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8C15-21CC-45E3-AFF4-385B515DE54C}">
  <dimension ref="B3:AN79"/>
  <sheetViews>
    <sheetView zoomScale="70" zoomScaleNormal="70" workbookViewId="0">
      <pane xSplit="1" ySplit="5" topLeftCell="AF6" activePane="bottomRight" state="frozen"/>
      <selection pane="topRight" activeCell="B1" sqref="B1"/>
      <selection pane="bottomLeft" activeCell="A6" sqref="A6"/>
      <selection pane="bottomRight" activeCell="AH6" sqref="AH6:AH8"/>
    </sheetView>
  </sheetViews>
  <sheetFormatPr defaultRowHeight="14.5" x14ac:dyDescent="0.35"/>
  <cols>
    <col min="2" max="2" width="6" bestFit="1" customWidth="1"/>
    <col min="3" max="3" width="4.81640625" bestFit="1" customWidth="1"/>
    <col min="4" max="4" width="9.90625" bestFit="1" customWidth="1"/>
    <col min="5" max="5" width="18.54296875" bestFit="1" customWidth="1"/>
    <col min="6" max="6" width="12.26953125" bestFit="1" customWidth="1"/>
    <col min="7" max="7" width="5.81640625" bestFit="1" customWidth="1"/>
    <col min="8" max="8" width="15.90625" bestFit="1" customWidth="1"/>
    <col min="9" max="9" width="11.08984375" bestFit="1" customWidth="1"/>
    <col min="10" max="10" width="5.81640625" bestFit="1" customWidth="1"/>
    <col min="11" max="11" width="9.81640625" bestFit="1" customWidth="1"/>
    <col min="12" max="12" width="17.6328125" bestFit="1" customWidth="1"/>
    <col min="13" max="13" width="6.81640625" bestFit="1" customWidth="1"/>
    <col min="14" max="14" width="22" bestFit="1" customWidth="1"/>
    <col min="15" max="15" width="11.90625" bestFit="1" customWidth="1"/>
    <col min="16" max="16" width="6.81640625" bestFit="1" customWidth="1"/>
    <col min="17" max="17" width="26.36328125" bestFit="1" customWidth="1"/>
    <col min="18" max="18" width="9.08984375" bestFit="1" customWidth="1"/>
    <col min="19" max="19" width="26.26953125" bestFit="1" customWidth="1"/>
    <col min="20" max="20" width="12.36328125" bestFit="1" customWidth="1"/>
    <col min="22" max="22" width="7.08984375" customWidth="1"/>
    <col min="23" max="23" width="9.90625" bestFit="1" customWidth="1"/>
    <col min="24" max="24" width="14.36328125" bestFit="1" customWidth="1"/>
    <col min="25" max="25" width="22" bestFit="1" customWidth="1"/>
    <col min="26" max="26" width="11.90625" bestFit="1" customWidth="1"/>
    <col min="27" max="27" width="6.26953125" bestFit="1" customWidth="1"/>
    <col min="28" max="28" width="26.36328125" bestFit="1" customWidth="1"/>
    <col min="29" max="29" width="9.08984375" bestFit="1" customWidth="1"/>
    <col min="30" max="30" width="26.26953125" bestFit="1" customWidth="1"/>
    <col min="31" max="31" width="12.36328125" bestFit="1" customWidth="1"/>
    <col min="34" max="34" width="22" bestFit="1" customWidth="1"/>
    <col min="35" max="35" width="11.90625" bestFit="1" customWidth="1"/>
    <col min="36" max="36" width="6.81640625" bestFit="1" customWidth="1"/>
    <col min="37" max="37" width="26.36328125" bestFit="1" customWidth="1"/>
    <col min="38" max="38" width="9.08984375" bestFit="1" customWidth="1"/>
    <col min="39" max="39" width="26.26953125" bestFit="1" customWidth="1"/>
    <col min="40" max="40" width="12.36328125" bestFit="1" customWidth="1"/>
  </cols>
  <sheetData>
    <row r="3" spans="2:40" x14ac:dyDescent="0.35">
      <c r="B3" s="64" t="s">
        <v>94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V3" s="65" t="s">
        <v>85</v>
      </c>
      <c r="W3" s="65"/>
      <c r="X3" s="65"/>
      <c r="Y3" s="65"/>
      <c r="Z3" s="65"/>
      <c r="AA3" s="65"/>
      <c r="AB3" s="65"/>
      <c r="AC3" s="65"/>
      <c r="AD3" s="65"/>
      <c r="AE3" s="65"/>
      <c r="AG3" s="67" t="s">
        <v>95</v>
      </c>
      <c r="AH3" s="67"/>
      <c r="AI3" s="67"/>
      <c r="AJ3" s="67"/>
      <c r="AK3" s="67"/>
      <c r="AL3" s="67"/>
      <c r="AM3" s="67"/>
      <c r="AN3" s="67"/>
    </row>
    <row r="4" spans="2:40" x14ac:dyDescent="0.35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V4" s="66"/>
      <c r="W4" s="66"/>
      <c r="X4" s="66"/>
      <c r="Y4" s="66"/>
      <c r="Z4" s="66"/>
      <c r="AA4" s="66"/>
      <c r="AB4" s="66"/>
      <c r="AC4" s="66"/>
      <c r="AD4" s="66"/>
      <c r="AE4" s="66"/>
      <c r="AG4" s="68"/>
      <c r="AH4" s="68"/>
      <c r="AI4" s="68"/>
      <c r="AJ4" s="68"/>
      <c r="AK4" s="68"/>
      <c r="AL4" s="68"/>
      <c r="AM4" s="68"/>
      <c r="AN4" s="68"/>
    </row>
    <row r="5" spans="2:40" x14ac:dyDescent="0.35"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12</v>
      </c>
      <c r="N5" s="15" t="s">
        <v>84</v>
      </c>
      <c r="O5" s="15" t="s">
        <v>21</v>
      </c>
      <c r="P5" s="15" t="s">
        <v>23</v>
      </c>
      <c r="Q5" s="15" t="s">
        <v>24</v>
      </c>
      <c r="R5" s="15" t="s">
        <v>26</v>
      </c>
      <c r="S5" s="15" t="s">
        <v>22</v>
      </c>
      <c r="T5" s="15" t="s">
        <v>29</v>
      </c>
      <c r="V5" s="15" t="s">
        <v>1</v>
      </c>
      <c r="W5" s="15" t="s">
        <v>2</v>
      </c>
      <c r="X5" s="15" t="s">
        <v>86</v>
      </c>
      <c r="Y5" s="15" t="s">
        <v>84</v>
      </c>
      <c r="Z5" s="15" t="s">
        <v>21</v>
      </c>
      <c r="AA5" s="15" t="s">
        <v>23</v>
      </c>
      <c r="AB5" s="15" t="s">
        <v>24</v>
      </c>
      <c r="AC5" s="15" t="s">
        <v>26</v>
      </c>
      <c r="AD5" s="15" t="s">
        <v>22</v>
      </c>
      <c r="AE5" s="15" t="s">
        <v>29</v>
      </c>
      <c r="AG5" s="15" t="s">
        <v>1</v>
      </c>
      <c r="AH5" s="15" t="s">
        <v>84</v>
      </c>
      <c r="AI5" s="15" t="s">
        <v>21</v>
      </c>
      <c r="AJ5" s="15" t="s">
        <v>23</v>
      </c>
      <c r="AK5" s="15" t="s">
        <v>24</v>
      </c>
      <c r="AL5" s="15" t="s">
        <v>26</v>
      </c>
      <c r="AM5" s="15" t="s">
        <v>22</v>
      </c>
      <c r="AN5" s="15" t="s">
        <v>29</v>
      </c>
    </row>
    <row r="6" spans="2:40" x14ac:dyDescent="0.35">
      <c r="B6" s="15" t="s">
        <v>33</v>
      </c>
      <c r="C6" s="15">
        <v>2017</v>
      </c>
      <c r="D6" s="15" t="s">
        <v>36</v>
      </c>
      <c r="E6" s="15">
        <v>132.69999999999999</v>
      </c>
      <c r="F6" s="15">
        <v>139.4</v>
      </c>
      <c r="G6" s="15">
        <v>128.4</v>
      </c>
      <c r="H6" s="15">
        <v>134.9</v>
      </c>
      <c r="I6" s="15">
        <v>114</v>
      </c>
      <c r="J6" s="15">
        <v>136.80000000000001</v>
      </c>
      <c r="K6" s="15">
        <v>122.2</v>
      </c>
      <c r="L6" s="15">
        <v>135.80000000000001</v>
      </c>
      <c r="M6" s="5">
        <v>142.6</v>
      </c>
      <c r="N6" s="15">
        <f>SUM(E6:M6)</f>
        <v>1186.8</v>
      </c>
      <c r="O6" s="15">
        <v>120.8</v>
      </c>
      <c r="P6" s="15">
        <v>123.1</v>
      </c>
      <c r="Q6" s="15">
        <v>115.6</v>
      </c>
      <c r="R6" s="15">
        <v>132.80000000000001</v>
      </c>
      <c r="S6" s="15">
        <v>125.6</v>
      </c>
      <c r="T6" s="15">
        <v>128.69999999999999</v>
      </c>
      <c r="V6" s="15">
        <v>2017</v>
      </c>
      <c r="W6" s="15" t="s">
        <v>36</v>
      </c>
      <c r="X6" s="15" t="str">
        <f t="shared" ref="X6:X69" si="0">_xlfn.CONCAT(W6," ",V6)</f>
        <v>March 2017</v>
      </c>
      <c r="Y6" s="9"/>
      <c r="Z6" s="5"/>
      <c r="AA6" s="5"/>
      <c r="AB6" s="5"/>
      <c r="AC6" s="5"/>
      <c r="AD6" s="5"/>
      <c r="AE6" s="5"/>
      <c r="AG6" s="15" t="s">
        <v>87</v>
      </c>
      <c r="AH6" s="25">
        <f>($N6-$N17)/$N6</f>
        <v>-1.4408493427704868E-2</v>
      </c>
      <c r="AI6" s="25">
        <f>($O6-$O17)/$O6</f>
        <v>-5.3807947019867554E-2</v>
      </c>
      <c r="AJ6" s="25">
        <f>(P$6-P$17)/P$6</f>
        <v>-5.442729488220973E-2</v>
      </c>
      <c r="AK6" s="25">
        <f>(Q$6-Q$17)/Q$6</f>
        <v>-1.5570934256055463E-2</v>
      </c>
      <c r="AL6" s="25">
        <f>(R$6-R$17)/R$6</f>
        <v>-3.3132530120481757E-2</v>
      </c>
      <c r="AM6" s="25">
        <f>(S$6-S$17)/S$6</f>
        <v>-3.4235668789809007E-2</v>
      </c>
      <c r="AN6" s="25">
        <f>(T$6-T$17)/T$6</f>
        <v>-4.1181041181041274E-2</v>
      </c>
    </row>
    <row r="7" spans="2:40" x14ac:dyDescent="0.35">
      <c r="B7" s="15" t="s">
        <v>33</v>
      </c>
      <c r="C7" s="15">
        <v>2017</v>
      </c>
      <c r="D7" s="15" t="s">
        <v>37</v>
      </c>
      <c r="E7" s="15">
        <v>132.69999999999999</v>
      </c>
      <c r="F7" s="15">
        <v>140.6</v>
      </c>
      <c r="G7" s="15">
        <v>124.5</v>
      </c>
      <c r="H7" s="15">
        <v>136.30000000000001</v>
      </c>
      <c r="I7" s="15">
        <v>113.5</v>
      </c>
      <c r="J7" s="15">
        <v>137.69999999999999</v>
      </c>
      <c r="K7" s="15">
        <v>127.1</v>
      </c>
      <c r="L7" s="15">
        <v>133.80000000000001</v>
      </c>
      <c r="M7" s="5">
        <v>141.30000000000001</v>
      </c>
      <c r="N7" s="15">
        <f t="shared" ref="N7:N70" si="1">SUM(E7:M7)</f>
        <v>1187.5</v>
      </c>
      <c r="O7" s="15">
        <v>121.4</v>
      </c>
      <c r="P7" s="15">
        <v>123.4</v>
      </c>
      <c r="Q7" s="15">
        <v>114.3</v>
      </c>
      <c r="R7" s="15">
        <v>133.6</v>
      </c>
      <c r="S7" s="15">
        <v>126</v>
      </c>
      <c r="T7" s="15">
        <v>129.1</v>
      </c>
      <c r="V7" s="15">
        <v>2017</v>
      </c>
      <c r="W7" s="15" t="s">
        <v>37</v>
      </c>
      <c r="X7" s="15" t="str">
        <f t="shared" si="0"/>
        <v>April 2017</v>
      </c>
      <c r="Y7" s="9">
        <f>($N7-$N6)/$N6</f>
        <v>5.8982136838561295E-4</v>
      </c>
      <c r="Z7" s="9">
        <f>($O7-$O6)/$O6</f>
        <v>4.9668874172186135E-3</v>
      </c>
      <c r="AA7" s="9">
        <f>($P7-$P6)/$P6</f>
        <v>2.4370430544273874E-3</v>
      </c>
      <c r="AB7" s="9">
        <f>($Q7-$Q6)/$Q6</f>
        <v>-1.1245674740484405E-2</v>
      </c>
      <c r="AC7" s="9">
        <f>($R7-$R6)/$R6</f>
        <v>6.0240963855420398E-3</v>
      </c>
      <c r="AD7" s="9">
        <f>($S7-$S6)/$S6</f>
        <v>3.1847133757962236E-3</v>
      </c>
      <c r="AE7" s="9">
        <f>($T7-$T6)/$T6</f>
        <v>3.1080031080031522E-3</v>
      </c>
      <c r="AG7" s="15" t="s">
        <v>88</v>
      </c>
      <c r="AH7" s="25">
        <f>($N29-$N18)/$N18</f>
        <v>2.6410664878007879E-2</v>
      </c>
      <c r="AI7" s="25">
        <f>($O29-$O18)/$O18</f>
        <v>5.5379746835442136E-3</v>
      </c>
      <c r="AJ7" s="25">
        <f>(P$29-P$18)/P$18</f>
        <v>6.1302681992337162E-2</v>
      </c>
      <c r="AK7" s="25">
        <f>(Q$29-Q$18)/Q$18</f>
        <v>1.1884550084889691E-2</v>
      </c>
      <c r="AL7" s="25">
        <f>(R$29-R$18)/R$18</f>
        <v>6.386066763425241E-2</v>
      </c>
      <c r="AM7" s="25">
        <f>(S$29-S$18)/S$18</f>
        <v>4.4342507645259807E-2</v>
      </c>
      <c r="AN7" s="25">
        <f>(T$29-T$18)/T$18</f>
        <v>3.4328358208955183E-2</v>
      </c>
    </row>
    <row r="8" spans="2:40" x14ac:dyDescent="0.35">
      <c r="B8" s="15" t="s">
        <v>33</v>
      </c>
      <c r="C8" s="15">
        <v>2017</v>
      </c>
      <c r="D8" s="15" t="s">
        <v>38</v>
      </c>
      <c r="E8" s="15">
        <v>132.6</v>
      </c>
      <c r="F8" s="15">
        <v>144.1</v>
      </c>
      <c r="G8" s="15">
        <v>125.6</v>
      </c>
      <c r="H8" s="15">
        <v>136.80000000000001</v>
      </c>
      <c r="I8" s="15">
        <v>113.4</v>
      </c>
      <c r="J8" s="15">
        <v>135.19999999999999</v>
      </c>
      <c r="K8" s="15">
        <v>129.19999999999999</v>
      </c>
      <c r="L8" s="15">
        <v>131.5</v>
      </c>
      <c r="M8" s="5">
        <v>139.9</v>
      </c>
      <c r="N8" s="15">
        <f t="shared" si="1"/>
        <v>1188.3</v>
      </c>
      <c r="O8" s="15">
        <v>120.1</v>
      </c>
      <c r="P8" s="15">
        <v>123.6</v>
      </c>
      <c r="Q8" s="15">
        <v>114.3</v>
      </c>
      <c r="R8" s="15">
        <v>133.80000000000001</v>
      </c>
      <c r="S8" s="15">
        <v>126.5</v>
      </c>
      <c r="T8" s="15">
        <v>129.30000000000001</v>
      </c>
      <c r="V8" s="15">
        <v>2017</v>
      </c>
      <c r="W8" s="15" t="s">
        <v>38</v>
      </c>
      <c r="X8" s="15" t="str">
        <f t="shared" si="0"/>
        <v>May 2017</v>
      </c>
      <c r="Y8" s="9">
        <f t="shared" ref="Y8:Y71" si="2">($N8-$N7)/$N7</f>
        <v>6.7368421052627753E-4</v>
      </c>
      <c r="Z8" s="9">
        <f t="shared" ref="Z8:Z71" si="3">($O8-$O7)/$O7</f>
        <v>-1.0708401976935842E-2</v>
      </c>
      <c r="AA8" s="9">
        <f t="shared" ref="AA8:AA71" si="4">($P8-$P7)/$P7</f>
        <v>1.6207455429496647E-3</v>
      </c>
      <c r="AB8" s="9">
        <f t="shared" ref="AB8:AB71" si="5">($Q8-$Q7)/$Q7</f>
        <v>0</v>
      </c>
      <c r="AC8" s="9">
        <f t="shared" ref="AC8:AC71" si="6">($R8-$R7)/$R7</f>
        <v>1.4970059880240799E-3</v>
      </c>
      <c r="AD8" s="9">
        <f t="shared" ref="AD8:AD71" si="7">($S8-$S7)/$S7</f>
        <v>3.968253968253968E-3</v>
      </c>
      <c r="AE8" s="9">
        <f t="shared" ref="AE8:AE71" si="8">($T8-$T7)/$T7</f>
        <v>1.54918667699471E-3</v>
      </c>
      <c r="AG8" s="15" t="s">
        <v>89</v>
      </c>
      <c r="AH8" s="25">
        <f>($N40-$N30)/$N30</f>
        <v>0.10016181229773459</v>
      </c>
      <c r="AI8" s="25">
        <f>($O40-$O30)/$O30</f>
        <v>7.8416149068322935E-2</v>
      </c>
      <c r="AJ8" s="25">
        <f>(P$40-P$30)/P$30</f>
        <v>3.7356321839080588E-2</v>
      </c>
      <c r="AK8" s="25">
        <f>(Q$40-Q$30)/Q$30</f>
        <v>4.4203502919099226E-2</v>
      </c>
      <c r="AL8" s="25">
        <f>(R$40-R$30)/R$30</f>
        <v>3.7491479209270623E-2</v>
      </c>
      <c r="AM8" s="25">
        <f>(S$40-S$30)/S$30</f>
        <v>2.6315789473684167E-2</v>
      </c>
      <c r="AN8" s="25">
        <f>(T$40-T$30)/T$30</f>
        <v>5.8781362007168381E-2</v>
      </c>
    </row>
    <row r="9" spans="2:40" x14ac:dyDescent="0.35">
      <c r="B9" s="15" t="s">
        <v>33</v>
      </c>
      <c r="C9" s="15">
        <v>2017</v>
      </c>
      <c r="D9" s="15" t="s">
        <v>39</v>
      </c>
      <c r="E9" s="15">
        <v>132.9</v>
      </c>
      <c r="F9" s="15">
        <v>148.69999999999999</v>
      </c>
      <c r="G9" s="15">
        <v>128.30000000000001</v>
      </c>
      <c r="H9" s="15">
        <v>137.30000000000001</v>
      </c>
      <c r="I9" s="15">
        <v>113.5</v>
      </c>
      <c r="J9" s="15">
        <v>137.19999999999999</v>
      </c>
      <c r="K9" s="15">
        <v>142.19999999999999</v>
      </c>
      <c r="L9" s="15">
        <v>128.19999999999999</v>
      </c>
      <c r="M9" s="5">
        <v>138.80000000000001</v>
      </c>
      <c r="N9" s="15">
        <f t="shared" si="1"/>
        <v>1207.1000000000001</v>
      </c>
      <c r="O9" s="15">
        <v>119</v>
      </c>
      <c r="P9" s="15">
        <v>123.8</v>
      </c>
      <c r="Q9" s="15">
        <v>113.9</v>
      </c>
      <c r="R9" s="15">
        <v>134.30000000000001</v>
      </c>
      <c r="S9" s="15">
        <v>126.8</v>
      </c>
      <c r="T9" s="15">
        <v>129.9</v>
      </c>
      <c r="V9" s="15">
        <v>2017</v>
      </c>
      <c r="W9" s="15" t="s">
        <v>39</v>
      </c>
      <c r="X9" s="15" t="str">
        <f t="shared" si="0"/>
        <v>June 2017</v>
      </c>
      <c r="Y9" s="9">
        <f t="shared" si="2"/>
        <v>1.582092064293544E-2</v>
      </c>
      <c r="Z9" s="9">
        <f t="shared" si="3"/>
        <v>-9.1590341382181053E-3</v>
      </c>
      <c r="AA9" s="9">
        <f t="shared" si="4"/>
        <v>1.6181229773463014E-3</v>
      </c>
      <c r="AB9" s="9">
        <f t="shared" si="5"/>
        <v>-3.4995625546805904E-3</v>
      </c>
      <c r="AC9" s="9">
        <f t="shared" si="6"/>
        <v>3.7369207772795215E-3</v>
      </c>
      <c r="AD9" s="9">
        <f t="shared" si="7"/>
        <v>2.3715415019762622E-3</v>
      </c>
      <c r="AE9" s="9">
        <f t="shared" si="8"/>
        <v>4.6403712296983314E-3</v>
      </c>
      <c r="AG9" s="5"/>
      <c r="AH9" s="5"/>
      <c r="AI9" s="5"/>
      <c r="AJ9" s="5"/>
      <c r="AK9" s="5"/>
      <c r="AL9" s="5"/>
      <c r="AM9" s="5"/>
      <c r="AN9" s="5"/>
    </row>
    <row r="10" spans="2:40" x14ac:dyDescent="0.35">
      <c r="B10" s="15" t="s">
        <v>33</v>
      </c>
      <c r="C10" s="15">
        <v>2017</v>
      </c>
      <c r="D10" s="15" t="s">
        <v>40</v>
      </c>
      <c r="E10" s="15">
        <v>132.80000000000001</v>
      </c>
      <c r="F10" s="15">
        <v>148.4</v>
      </c>
      <c r="G10" s="15">
        <v>129.4</v>
      </c>
      <c r="H10" s="15">
        <v>137.69999999999999</v>
      </c>
      <c r="I10" s="15">
        <v>113.4</v>
      </c>
      <c r="J10" s="15">
        <v>139.4</v>
      </c>
      <c r="K10" s="15">
        <v>175.1</v>
      </c>
      <c r="L10" s="15">
        <v>124.7</v>
      </c>
      <c r="M10" s="5">
        <v>137.80000000000001</v>
      </c>
      <c r="N10" s="15">
        <f t="shared" si="1"/>
        <v>1238.6999999999998</v>
      </c>
      <c r="O10" s="15">
        <v>119.7</v>
      </c>
      <c r="P10" s="15">
        <v>125</v>
      </c>
      <c r="Q10" s="15">
        <v>113.2</v>
      </c>
      <c r="R10" s="15">
        <v>135.5</v>
      </c>
      <c r="S10" s="15">
        <v>127.2</v>
      </c>
      <c r="T10" s="15">
        <v>131.80000000000001</v>
      </c>
      <c r="V10" s="15">
        <v>2017</v>
      </c>
      <c r="W10" s="15" t="s">
        <v>40</v>
      </c>
      <c r="X10" s="15" t="str">
        <f t="shared" si="0"/>
        <v>July 2017</v>
      </c>
      <c r="Y10" s="9">
        <f t="shared" si="2"/>
        <v>2.6178444205119441E-2</v>
      </c>
      <c r="Z10" s="9">
        <f t="shared" si="3"/>
        <v>5.8823529411764948E-3</v>
      </c>
      <c r="AA10" s="9">
        <f t="shared" si="4"/>
        <v>9.6930533117932389E-3</v>
      </c>
      <c r="AB10" s="9">
        <f t="shared" si="5"/>
        <v>-6.1457418788411133E-3</v>
      </c>
      <c r="AC10" s="9">
        <f t="shared" si="6"/>
        <v>8.9352196574831611E-3</v>
      </c>
      <c r="AD10" s="9">
        <f t="shared" si="7"/>
        <v>3.1545741324921586E-3</v>
      </c>
      <c r="AE10" s="9">
        <f t="shared" si="8"/>
        <v>1.4626635873749081E-2</v>
      </c>
      <c r="AG10" s="15" t="s">
        <v>90</v>
      </c>
      <c r="AH10" s="25">
        <f>($N52-$N41)/$N41</f>
        <v>9.5830230826507684E-2</v>
      </c>
      <c r="AI10" s="25">
        <f>($O52-$O41)/$O41</f>
        <v>5.4455445544554372E-2</v>
      </c>
      <c r="AJ10" s="25">
        <f>(P$52-P$41)/P$41</f>
        <v>7.7931034482758704E-2</v>
      </c>
      <c r="AK10" s="25">
        <f>(Q$52-Q$41)/Q$41</f>
        <v>0.12760834670947035</v>
      </c>
      <c r="AL10" s="25">
        <f>(R$52-R$41)/R$41</f>
        <v>2.6885245901639307E-2</v>
      </c>
      <c r="AM10" s="25">
        <f>(S$52-S$41)/S$41</f>
        <v>4.0482954545454461E-2</v>
      </c>
      <c r="AN10" s="25">
        <f>(T$52-T$41)/T$41</f>
        <v>6.2457569585879079E-2</v>
      </c>
    </row>
    <row r="11" spans="2:40" x14ac:dyDescent="0.35">
      <c r="B11" s="15" t="s">
        <v>33</v>
      </c>
      <c r="C11" s="15">
        <v>2017</v>
      </c>
      <c r="D11" s="15" t="s">
        <v>41</v>
      </c>
      <c r="E11" s="15">
        <v>133.19999999999999</v>
      </c>
      <c r="F11" s="15">
        <v>143.9</v>
      </c>
      <c r="G11" s="15">
        <v>128.30000000000001</v>
      </c>
      <c r="H11" s="15">
        <v>138.30000000000001</v>
      </c>
      <c r="I11" s="15">
        <v>114.1</v>
      </c>
      <c r="J11" s="15">
        <v>142.69999999999999</v>
      </c>
      <c r="K11" s="15">
        <v>179.8</v>
      </c>
      <c r="L11" s="15">
        <v>123.5</v>
      </c>
      <c r="M11" s="5">
        <v>137.5</v>
      </c>
      <c r="N11" s="15">
        <f t="shared" si="1"/>
        <v>1241.3</v>
      </c>
      <c r="O11" s="15">
        <v>118.9</v>
      </c>
      <c r="P11" s="15">
        <v>125.7</v>
      </c>
      <c r="Q11" s="15">
        <v>114.6</v>
      </c>
      <c r="R11" s="15">
        <v>135.69999999999999</v>
      </c>
      <c r="S11" s="15">
        <v>127.7</v>
      </c>
      <c r="T11" s="15">
        <v>132.69999999999999</v>
      </c>
      <c r="V11" s="15">
        <v>2017</v>
      </c>
      <c r="W11" s="15" t="s">
        <v>41</v>
      </c>
      <c r="X11" s="15" t="str">
        <f t="shared" si="0"/>
        <v>August 2017</v>
      </c>
      <c r="Y11" s="9">
        <f t="shared" si="2"/>
        <v>2.0989747315735344E-3</v>
      </c>
      <c r="Z11" s="9">
        <f t="shared" si="3"/>
        <v>-6.6833751044277122E-3</v>
      </c>
      <c r="AA11" s="9">
        <f t="shared" si="4"/>
        <v>5.6000000000000225E-3</v>
      </c>
      <c r="AB11" s="9">
        <f t="shared" si="5"/>
        <v>1.2367491166077663E-2</v>
      </c>
      <c r="AC11" s="9">
        <f t="shared" si="6"/>
        <v>1.4760147601475175E-3</v>
      </c>
      <c r="AD11" s="9">
        <f t="shared" si="7"/>
        <v>3.9308176100628931E-3</v>
      </c>
      <c r="AE11" s="9">
        <f t="shared" si="8"/>
        <v>6.8285280728374595E-3</v>
      </c>
      <c r="AG11" s="15" t="s">
        <v>91</v>
      </c>
      <c r="AH11" s="25">
        <f>($N64-$N53)/$N53</f>
        <v>5.9368191721133091E-2</v>
      </c>
      <c r="AI11" s="25">
        <f>($O64-$O53)/$O53</f>
        <v>5.2971576227390106E-2</v>
      </c>
      <c r="AJ11" s="25">
        <f>(P$64-P$53)/P$53</f>
        <v>6.5646908859145842E-2</v>
      </c>
      <c r="AK11" s="25">
        <f>(Q$64-Q$53)/Q$53</f>
        <v>8.0451658433309856E-2</v>
      </c>
      <c r="AL11" s="25">
        <f>(R$64-R$53)/R$53</f>
        <v>2.7918781725888363E-2</v>
      </c>
      <c r="AM11" s="25">
        <f>(S$64-S$53)/S$53</f>
        <v>6.9293478260869693E-2</v>
      </c>
      <c r="AN11" s="25">
        <f>(T$64-T$53)/T$53</f>
        <v>5.4811982154238333E-2</v>
      </c>
    </row>
    <row r="12" spans="2:40" x14ac:dyDescent="0.35">
      <c r="B12" s="15" t="s">
        <v>33</v>
      </c>
      <c r="C12" s="15">
        <v>2017</v>
      </c>
      <c r="D12" s="15" t="s">
        <v>42</v>
      </c>
      <c r="E12" s="15">
        <v>133.6</v>
      </c>
      <c r="F12" s="15">
        <v>143</v>
      </c>
      <c r="G12" s="15">
        <v>129.69999999999999</v>
      </c>
      <c r="H12" s="15">
        <v>138.69999999999999</v>
      </c>
      <c r="I12" s="15">
        <v>114.5</v>
      </c>
      <c r="J12" s="15">
        <v>137.5</v>
      </c>
      <c r="K12" s="15">
        <v>160.69999999999999</v>
      </c>
      <c r="L12" s="15">
        <v>124.5</v>
      </c>
      <c r="M12" s="5">
        <v>137.30000000000001</v>
      </c>
      <c r="N12" s="15">
        <f t="shared" si="1"/>
        <v>1219.5</v>
      </c>
      <c r="O12" s="15">
        <v>120.6</v>
      </c>
      <c r="P12" s="15">
        <v>126.1</v>
      </c>
      <c r="Q12" s="15">
        <v>115.7</v>
      </c>
      <c r="R12" s="15">
        <v>135.9</v>
      </c>
      <c r="S12" s="15">
        <v>128.1</v>
      </c>
      <c r="T12" s="15">
        <v>132.4</v>
      </c>
      <c r="V12" s="15">
        <v>2017</v>
      </c>
      <c r="W12" s="15" t="s">
        <v>42</v>
      </c>
      <c r="X12" s="15" t="str">
        <f t="shared" si="0"/>
        <v>September 2017</v>
      </c>
      <c r="Y12" s="9">
        <f t="shared" si="2"/>
        <v>-1.7562233142672967E-2</v>
      </c>
      <c r="Z12" s="9">
        <f t="shared" si="3"/>
        <v>1.4297729184188297E-2</v>
      </c>
      <c r="AA12" s="9">
        <f t="shared" si="4"/>
        <v>3.1821797931582455E-3</v>
      </c>
      <c r="AB12" s="9">
        <f t="shared" si="5"/>
        <v>9.5986038394416107E-3</v>
      </c>
      <c r="AC12" s="9">
        <f t="shared" si="6"/>
        <v>1.4738393515108111E-3</v>
      </c>
      <c r="AD12" s="9">
        <f t="shared" si="7"/>
        <v>3.1323414252152817E-3</v>
      </c>
      <c r="AE12" s="9">
        <f t="shared" si="8"/>
        <v>-2.2607385079124564E-3</v>
      </c>
      <c r="AG12" s="15" t="s">
        <v>92</v>
      </c>
      <c r="AH12" s="25">
        <f>($N65-$N76)/$N65</f>
        <v>-4.6746280094513919E-2</v>
      </c>
      <c r="AI12" s="25">
        <f>($O65-$O76)/$O65</f>
        <v>-0.1112462006079028</v>
      </c>
      <c r="AJ12" s="25">
        <f>(P$65-P$76)/P$65</f>
        <v>-7.4910820451843191E-2</v>
      </c>
      <c r="AK12" s="25">
        <f>(Q$65-Q$76)/Q$65</f>
        <v>-3.6316472114137632E-2</v>
      </c>
      <c r="AL12" s="25">
        <f>(R$65-R$76)/R$65</f>
        <v>-6.0233558696988397E-2</v>
      </c>
      <c r="AM12" s="25">
        <f>(S$65-S$76)/S$65</f>
        <v>-6.6834804539722542E-2</v>
      </c>
      <c r="AN12" s="25">
        <f>(T$65-T$76)/T$65</f>
        <v>-5.8858858858858928E-2</v>
      </c>
    </row>
    <row r="13" spans="2:40" x14ac:dyDescent="0.35">
      <c r="B13" s="15" t="s">
        <v>33</v>
      </c>
      <c r="C13" s="15">
        <v>2017</v>
      </c>
      <c r="D13" s="15" t="s">
        <v>43</v>
      </c>
      <c r="E13" s="15">
        <v>133.9</v>
      </c>
      <c r="F13" s="15">
        <v>142.80000000000001</v>
      </c>
      <c r="G13" s="15">
        <v>131.4</v>
      </c>
      <c r="H13" s="15">
        <v>139.1</v>
      </c>
      <c r="I13" s="15">
        <v>114.9</v>
      </c>
      <c r="J13" s="15">
        <v>135.6</v>
      </c>
      <c r="K13" s="15">
        <v>173.2</v>
      </c>
      <c r="L13" s="15">
        <v>124.1</v>
      </c>
      <c r="M13" s="5">
        <v>137.80000000000001</v>
      </c>
      <c r="N13" s="15">
        <f t="shared" si="1"/>
        <v>1232.8</v>
      </c>
      <c r="O13" s="15">
        <v>122.6</v>
      </c>
      <c r="P13" s="15">
        <v>126.6</v>
      </c>
      <c r="Q13" s="15">
        <v>115</v>
      </c>
      <c r="R13" s="15">
        <v>136.30000000000001</v>
      </c>
      <c r="S13" s="15">
        <v>128.30000000000001</v>
      </c>
      <c r="T13" s="15">
        <v>133.5</v>
      </c>
      <c r="V13" s="15">
        <v>2017</v>
      </c>
      <c r="W13" s="15" t="s">
        <v>43</v>
      </c>
      <c r="X13" s="15" t="str">
        <f t="shared" si="0"/>
        <v>October 2017</v>
      </c>
      <c r="Y13" s="9">
        <f t="shared" si="2"/>
        <v>1.0906109061090574E-2</v>
      </c>
      <c r="Z13" s="9">
        <f t="shared" si="3"/>
        <v>1.658374792703151E-2</v>
      </c>
      <c r="AA13" s="9">
        <f t="shared" si="4"/>
        <v>3.9651070578905628E-3</v>
      </c>
      <c r="AB13" s="9">
        <f t="shared" si="5"/>
        <v>-6.0501296456352879E-3</v>
      </c>
      <c r="AC13" s="9">
        <f t="shared" si="6"/>
        <v>2.9433406916851042E-3</v>
      </c>
      <c r="AD13" s="9">
        <f t="shared" si="7"/>
        <v>1.5612802498049731E-3</v>
      </c>
      <c r="AE13" s="9">
        <f t="shared" si="8"/>
        <v>8.308157099697842E-3</v>
      </c>
    </row>
    <row r="14" spans="2:40" x14ac:dyDescent="0.35">
      <c r="B14" s="15" t="s">
        <v>33</v>
      </c>
      <c r="C14" s="15">
        <v>2017</v>
      </c>
      <c r="D14" s="15" t="s">
        <v>45</v>
      </c>
      <c r="E14" s="15">
        <v>134.30000000000001</v>
      </c>
      <c r="F14" s="15">
        <v>142.1</v>
      </c>
      <c r="G14" s="15">
        <v>146.69999999999999</v>
      </c>
      <c r="H14" s="15">
        <v>139.5</v>
      </c>
      <c r="I14" s="15">
        <v>115.2</v>
      </c>
      <c r="J14" s="15">
        <v>136.4</v>
      </c>
      <c r="K14" s="15">
        <v>185.2</v>
      </c>
      <c r="L14" s="15">
        <v>122.2</v>
      </c>
      <c r="M14" s="5">
        <v>138.30000000000001</v>
      </c>
      <c r="N14" s="15">
        <f t="shared" si="1"/>
        <v>1259.8999999999999</v>
      </c>
      <c r="O14" s="15">
        <v>125.7</v>
      </c>
      <c r="P14" s="15">
        <v>127.4</v>
      </c>
      <c r="Q14" s="15">
        <v>115.3</v>
      </c>
      <c r="R14" s="15">
        <v>136.6</v>
      </c>
      <c r="S14" s="15">
        <v>128.80000000000001</v>
      </c>
      <c r="T14" s="15">
        <v>134.80000000000001</v>
      </c>
      <c r="V14" s="15">
        <v>2017</v>
      </c>
      <c r="W14" s="15" t="s">
        <v>45</v>
      </c>
      <c r="X14" s="15" t="str">
        <f t="shared" si="0"/>
        <v>November 2017</v>
      </c>
      <c r="Y14" s="9">
        <f t="shared" si="2"/>
        <v>2.198247890979876E-2</v>
      </c>
      <c r="Z14" s="9">
        <f t="shared" si="3"/>
        <v>2.5285481239804314E-2</v>
      </c>
      <c r="AA14" s="9">
        <f t="shared" si="4"/>
        <v>6.3191153238547505E-3</v>
      </c>
      <c r="AB14" s="9">
        <f t="shared" si="5"/>
        <v>2.6086956521738885E-3</v>
      </c>
      <c r="AC14" s="9">
        <f t="shared" si="6"/>
        <v>2.201027146001342E-3</v>
      </c>
      <c r="AD14" s="9">
        <f t="shared" si="7"/>
        <v>3.8971161340607945E-3</v>
      </c>
      <c r="AE14" s="9">
        <f t="shared" si="8"/>
        <v>9.7378277153558901E-3</v>
      </c>
    </row>
    <row r="15" spans="2:40" x14ac:dyDescent="0.35">
      <c r="B15" s="15" t="s">
        <v>33</v>
      </c>
      <c r="C15" s="15">
        <v>2017</v>
      </c>
      <c r="D15" s="15" t="s">
        <v>46</v>
      </c>
      <c r="E15" s="15">
        <v>134.4</v>
      </c>
      <c r="F15" s="15">
        <v>142.6</v>
      </c>
      <c r="G15" s="15">
        <v>145.9</v>
      </c>
      <c r="H15" s="15">
        <v>139.5</v>
      </c>
      <c r="I15" s="15">
        <v>115.9</v>
      </c>
      <c r="J15" s="15">
        <v>135</v>
      </c>
      <c r="K15" s="15">
        <v>163.19999999999999</v>
      </c>
      <c r="L15" s="15">
        <v>119.8</v>
      </c>
      <c r="M15" s="5">
        <v>139.69999999999999</v>
      </c>
      <c r="N15" s="15">
        <f t="shared" si="1"/>
        <v>1236</v>
      </c>
      <c r="O15" s="15">
        <v>126.8</v>
      </c>
      <c r="P15" s="15">
        <v>128.19999999999999</v>
      </c>
      <c r="Q15" s="15">
        <v>115.3</v>
      </c>
      <c r="R15" s="15">
        <v>136.69999999999999</v>
      </c>
      <c r="S15" s="15">
        <v>129.30000000000001</v>
      </c>
      <c r="T15" s="15">
        <v>134.1</v>
      </c>
      <c r="V15" s="15">
        <v>2017</v>
      </c>
      <c r="W15" s="15" t="s">
        <v>46</v>
      </c>
      <c r="X15" s="15" t="str">
        <f t="shared" si="0"/>
        <v>December 2017</v>
      </c>
      <c r="Y15" s="9">
        <f t="shared" si="2"/>
        <v>-1.8969759504722492E-2</v>
      </c>
      <c r="Z15" s="9">
        <f t="shared" si="3"/>
        <v>8.7509944311853164E-3</v>
      </c>
      <c r="AA15" s="9">
        <f t="shared" si="4"/>
        <v>6.2794348508632882E-3</v>
      </c>
      <c r="AB15" s="9">
        <f t="shared" si="5"/>
        <v>0</v>
      </c>
      <c r="AC15" s="9">
        <f t="shared" si="6"/>
        <v>7.3206442166906527E-4</v>
      </c>
      <c r="AD15" s="9">
        <f t="shared" si="7"/>
        <v>3.8819875776397511E-3</v>
      </c>
      <c r="AE15" s="9">
        <f t="shared" si="8"/>
        <v>-5.1928783382790581E-3</v>
      </c>
    </row>
    <row r="16" spans="2:40" x14ac:dyDescent="0.35">
      <c r="B16" s="15" t="s">
        <v>33</v>
      </c>
      <c r="C16" s="15">
        <v>2018</v>
      </c>
      <c r="D16" s="15" t="s">
        <v>31</v>
      </c>
      <c r="E16" s="15">
        <v>134.6</v>
      </c>
      <c r="F16" s="15">
        <v>143.69999999999999</v>
      </c>
      <c r="G16" s="15">
        <v>143.6</v>
      </c>
      <c r="H16" s="15">
        <v>139.6</v>
      </c>
      <c r="I16" s="15">
        <v>116.4</v>
      </c>
      <c r="J16" s="15">
        <v>133.80000000000001</v>
      </c>
      <c r="K16" s="15">
        <v>150.5</v>
      </c>
      <c r="L16" s="15">
        <v>118.4</v>
      </c>
      <c r="M16" s="5">
        <v>140.5</v>
      </c>
      <c r="N16" s="15">
        <f t="shared" si="1"/>
        <v>1221.1000000000001</v>
      </c>
      <c r="O16" s="15">
        <v>127.3</v>
      </c>
      <c r="P16" s="15">
        <v>129</v>
      </c>
      <c r="Q16" s="15">
        <v>116.3</v>
      </c>
      <c r="R16" s="15">
        <v>137.1</v>
      </c>
      <c r="S16" s="15">
        <v>129.5</v>
      </c>
      <c r="T16" s="15">
        <v>134.1</v>
      </c>
      <c r="V16" s="15">
        <v>2018</v>
      </c>
      <c r="W16" s="15" t="s">
        <v>31</v>
      </c>
      <c r="X16" s="15" t="str">
        <f t="shared" si="0"/>
        <v>January 2018</v>
      </c>
      <c r="Y16" s="9">
        <f t="shared" si="2"/>
        <v>-1.2055016181229663E-2</v>
      </c>
      <c r="Z16" s="9">
        <f t="shared" si="3"/>
        <v>3.9432176656151417E-3</v>
      </c>
      <c r="AA16" s="9">
        <f t="shared" si="4"/>
        <v>6.2402496099844889E-3</v>
      </c>
      <c r="AB16" s="9">
        <f t="shared" si="5"/>
        <v>8.6730268863833473E-3</v>
      </c>
      <c r="AC16" s="9">
        <f t="shared" si="6"/>
        <v>2.9261155815655136E-3</v>
      </c>
      <c r="AD16" s="9">
        <f t="shared" si="7"/>
        <v>1.5467904098993707E-3</v>
      </c>
      <c r="AE16" s="9">
        <f t="shared" si="8"/>
        <v>0</v>
      </c>
    </row>
    <row r="17" spans="2:31" x14ac:dyDescent="0.35">
      <c r="B17" s="15" t="s">
        <v>33</v>
      </c>
      <c r="C17" s="15">
        <v>2018</v>
      </c>
      <c r="D17" s="15" t="s">
        <v>35</v>
      </c>
      <c r="E17" s="15">
        <v>134.80000000000001</v>
      </c>
      <c r="F17" s="15">
        <v>143</v>
      </c>
      <c r="G17" s="15">
        <v>139.9</v>
      </c>
      <c r="H17" s="15">
        <v>139.9</v>
      </c>
      <c r="I17" s="15">
        <v>116.2</v>
      </c>
      <c r="J17" s="15">
        <v>135.5</v>
      </c>
      <c r="K17" s="15">
        <v>136.9</v>
      </c>
      <c r="L17" s="15">
        <v>117</v>
      </c>
      <c r="M17" s="5">
        <v>140.69999999999999</v>
      </c>
      <c r="N17" s="15">
        <f t="shared" si="1"/>
        <v>1203.9000000000001</v>
      </c>
      <c r="O17" s="15">
        <v>127.3</v>
      </c>
      <c r="P17" s="15">
        <v>129.80000000000001</v>
      </c>
      <c r="Q17" s="15">
        <v>117.4</v>
      </c>
      <c r="R17" s="15">
        <v>137.19999999999999</v>
      </c>
      <c r="S17" s="15">
        <v>129.9</v>
      </c>
      <c r="T17" s="15">
        <v>134</v>
      </c>
      <c r="V17" s="15">
        <v>2018</v>
      </c>
      <c r="W17" s="15" t="s">
        <v>35</v>
      </c>
      <c r="X17" s="15" t="str">
        <f t="shared" si="0"/>
        <v>February 2018</v>
      </c>
      <c r="Y17" s="9">
        <f t="shared" si="2"/>
        <v>-1.4085660470068007E-2</v>
      </c>
      <c r="Z17" s="9">
        <f t="shared" si="3"/>
        <v>0</v>
      </c>
      <c r="AA17" s="9">
        <f t="shared" si="4"/>
        <v>6.2015503875969876E-3</v>
      </c>
      <c r="AB17" s="9">
        <f t="shared" si="5"/>
        <v>9.4582975064489132E-3</v>
      </c>
      <c r="AC17" s="9">
        <f t="shared" si="6"/>
        <v>7.2939460247990024E-4</v>
      </c>
      <c r="AD17" s="9">
        <f t="shared" si="7"/>
        <v>3.0888030888031326E-3</v>
      </c>
      <c r="AE17" s="9">
        <f t="shared" si="8"/>
        <v>-7.4571215510808593E-4</v>
      </c>
    </row>
    <row r="18" spans="2:31" x14ac:dyDescent="0.35">
      <c r="B18" s="15" t="s">
        <v>33</v>
      </c>
      <c r="C18" s="15">
        <v>2018</v>
      </c>
      <c r="D18" s="15" t="s">
        <v>36</v>
      </c>
      <c r="E18" s="15">
        <v>135</v>
      </c>
      <c r="F18" s="15">
        <v>143.1</v>
      </c>
      <c r="G18" s="15">
        <v>135.5</v>
      </c>
      <c r="H18" s="15">
        <v>139.9</v>
      </c>
      <c r="I18" s="15">
        <v>116.5</v>
      </c>
      <c r="J18" s="15">
        <v>138.5</v>
      </c>
      <c r="K18" s="15">
        <v>128</v>
      </c>
      <c r="L18" s="15">
        <v>115.5</v>
      </c>
      <c r="M18" s="5">
        <v>140.69999999999999</v>
      </c>
      <c r="N18" s="15">
        <f t="shared" si="1"/>
        <v>1192.7</v>
      </c>
      <c r="O18" s="15">
        <v>126.4</v>
      </c>
      <c r="P18" s="15">
        <v>130.5</v>
      </c>
      <c r="Q18" s="15">
        <v>117.8</v>
      </c>
      <c r="R18" s="15">
        <v>137.80000000000001</v>
      </c>
      <c r="S18" s="15">
        <v>130.80000000000001</v>
      </c>
      <c r="T18" s="15">
        <v>134</v>
      </c>
      <c r="V18" s="15">
        <v>2018</v>
      </c>
      <c r="W18" s="15" t="s">
        <v>36</v>
      </c>
      <c r="X18" s="15" t="str">
        <f t="shared" si="0"/>
        <v>March 2018</v>
      </c>
      <c r="Y18" s="9">
        <f t="shared" si="2"/>
        <v>-9.3030982639754501E-3</v>
      </c>
      <c r="Z18" s="9">
        <f t="shared" si="3"/>
        <v>-7.069913589944945E-3</v>
      </c>
      <c r="AA18" s="9">
        <f t="shared" si="4"/>
        <v>5.3929121725731013E-3</v>
      </c>
      <c r="AB18" s="9">
        <f t="shared" si="5"/>
        <v>3.4071550255535899E-3</v>
      </c>
      <c r="AC18" s="9">
        <f t="shared" si="6"/>
        <v>4.3731778425657635E-3</v>
      </c>
      <c r="AD18" s="9">
        <f t="shared" si="7"/>
        <v>6.9284064665127458E-3</v>
      </c>
      <c r="AE18" s="9">
        <f t="shared" si="8"/>
        <v>0</v>
      </c>
    </row>
    <row r="19" spans="2:31" x14ac:dyDescent="0.35">
      <c r="B19" s="15" t="s">
        <v>33</v>
      </c>
      <c r="C19" s="15">
        <v>2018</v>
      </c>
      <c r="D19" s="15" t="s">
        <v>37</v>
      </c>
      <c r="E19" s="15">
        <v>135</v>
      </c>
      <c r="F19" s="15">
        <v>144.30000000000001</v>
      </c>
      <c r="G19" s="15">
        <v>130.80000000000001</v>
      </c>
      <c r="H19" s="15">
        <v>140.30000000000001</v>
      </c>
      <c r="I19" s="15">
        <v>116.6</v>
      </c>
      <c r="J19" s="15">
        <v>150.1</v>
      </c>
      <c r="K19" s="15">
        <v>127.6</v>
      </c>
      <c r="L19" s="15">
        <v>114</v>
      </c>
      <c r="M19" s="5">
        <v>140.19999999999999</v>
      </c>
      <c r="N19" s="15">
        <f t="shared" si="1"/>
        <v>1198.9000000000003</v>
      </c>
      <c r="O19" s="15">
        <v>124.6</v>
      </c>
      <c r="P19" s="15">
        <v>131.30000000000001</v>
      </c>
      <c r="Q19" s="15">
        <v>118.9</v>
      </c>
      <c r="R19" s="15">
        <v>139.69999999999999</v>
      </c>
      <c r="S19" s="15">
        <v>131.80000000000001</v>
      </c>
      <c r="T19" s="15">
        <v>134.80000000000001</v>
      </c>
      <c r="V19" s="15">
        <v>2018</v>
      </c>
      <c r="W19" s="15" t="s">
        <v>37</v>
      </c>
      <c r="X19" s="15" t="str">
        <f t="shared" si="0"/>
        <v>April 2018</v>
      </c>
      <c r="Y19" s="9">
        <f t="shared" si="2"/>
        <v>5.1982895950367005E-3</v>
      </c>
      <c r="Z19" s="9">
        <f t="shared" si="3"/>
        <v>-1.4240506329114014E-2</v>
      </c>
      <c r="AA19" s="9">
        <f t="shared" si="4"/>
        <v>6.1302681992338034E-3</v>
      </c>
      <c r="AB19" s="9">
        <f t="shared" si="5"/>
        <v>9.3378607809847924E-3</v>
      </c>
      <c r="AC19" s="9">
        <f t="shared" si="6"/>
        <v>1.3788098693758905E-2</v>
      </c>
      <c r="AD19" s="9">
        <f t="shared" si="7"/>
        <v>7.6452599388379195E-3</v>
      </c>
      <c r="AE19" s="9">
        <f t="shared" si="8"/>
        <v>5.9701492537314283E-3</v>
      </c>
    </row>
    <row r="20" spans="2:31" x14ac:dyDescent="0.35">
      <c r="B20" s="15" t="s">
        <v>33</v>
      </c>
      <c r="C20" s="15">
        <v>2018</v>
      </c>
      <c r="D20" s="15" t="s">
        <v>38</v>
      </c>
      <c r="E20" s="15">
        <v>135</v>
      </c>
      <c r="F20" s="15">
        <v>148.19999999999999</v>
      </c>
      <c r="G20" s="15">
        <v>130.5</v>
      </c>
      <c r="H20" s="15">
        <v>140.69999999999999</v>
      </c>
      <c r="I20" s="15">
        <v>116.4</v>
      </c>
      <c r="J20" s="15">
        <v>151.30000000000001</v>
      </c>
      <c r="K20" s="15">
        <v>131.4</v>
      </c>
      <c r="L20" s="15">
        <v>112.8</v>
      </c>
      <c r="M20" s="5">
        <v>139.6</v>
      </c>
      <c r="N20" s="15">
        <f t="shared" si="1"/>
        <v>1205.8999999999999</v>
      </c>
      <c r="O20" s="15">
        <v>124.7</v>
      </c>
      <c r="P20" s="15">
        <v>132</v>
      </c>
      <c r="Q20" s="15">
        <v>119.8</v>
      </c>
      <c r="R20" s="15">
        <v>140.4</v>
      </c>
      <c r="S20" s="15">
        <v>132.5</v>
      </c>
      <c r="T20" s="15">
        <v>135.4</v>
      </c>
      <c r="V20" s="15">
        <v>2018</v>
      </c>
      <c r="W20" s="15" t="s">
        <v>38</v>
      </c>
      <c r="X20" s="15" t="str">
        <f t="shared" si="0"/>
        <v>May 2018</v>
      </c>
      <c r="Y20" s="9">
        <f t="shared" si="2"/>
        <v>5.8386854616728195E-3</v>
      </c>
      <c r="Z20" s="9">
        <f t="shared" si="3"/>
        <v>8.0256821829862389E-4</v>
      </c>
      <c r="AA20" s="9">
        <f t="shared" si="4"/>
        <v>5.3313023610052444E-3</v>
      </c>
      <c r="AB20" s="9">
        <f t="shared" si="5"/>
        <v>7.569386038687901E-3</v>
      </c>
      <c r="AC20" s="9">
        <f t="shared" si="6"/>
        <v>5.0107372942019834E-3</v>
      </c>
      <c r="AD20" s="9">
        <f t="shared" si="7"/>
        <v>5.3110773899847389E-3</v>
      </c>
      <c r="AE20" s="9">
        <f t="shared" si="8"/>
        <v>4.4510385756676134E-3</v>
      </c>
    </row>
    <row r="21" spans="2:31" x14ac:dyDescent="0.35">
      <c r="B21" s="15" t="s">
        <v>33</v>
      </c>
      <c r="C21" s="15">
        <v>2018</v>
      </c>
      <c r="D21" s="15" t="s">
        <v>39</v>
      </c>
      <c r="E21" s="15">
        <v>135.30000000000001</v>
      </c>
      <c r="F21" s="15">
        <v>149.69999999999999</v>
      </c>
      <c r="G21" s="15">
        <v>133.9</v>
      </c>
      <c r="H21" s="15">
        <v>140.80000000000001</v>
      </c>
      <c r="I21" s="15">
        <v>116.6</v>
      </c>
      <c r="J21" s="15">
        <v>152.19999999999999</v>
      </c>
      <c r="K21" s="15">
        <v>144</v>
      </c>
      <c r="L21" s="15">
        <v>112.3</v>
      </c>
      <c r="M21" s="5">
        <v>140</v>
      </c>
      <c r="N21" s="15">
        <f t="shared" si="1"/>
        <v>1224.8</v>
      </c>
      <c r="O21" s="15">
        <v>126.5</v>
      </c>
      <c r="P21" s="15">
        <v>132.6</v>
      </c>
      <c r="Q21" s="15">
        <v>120.4</v>
      </c>
      <c r="R21" s="15">
        <v>141.19999999999999</v>
      </c>
      <c r="S21" s="15">
        <v>133.1</v>
      </c>
      <c r="T21" s="15">
        <v>136.19999999999999</v>
      </c>
      <c r="V21" s="15">
        <v>2018</v>
      </c>
      <c r="W21" s="15" t="s">
        <v>39</v>
      </c>
      <c r="X21" s="15" t="str">
        <f t="shared" si="0"/>
        <v>June 2018</v>
      </c>
      <c r="Y21" s="9">
        <f t="shared" si="2"/>
        <v>1.5672941371589762E-2</v>
      </c>
      <c r="Z21" s="9">
        <f t="shared" si="3"/>
        <v>1.4434643143544484E-2</v>
      </c>
      <c r="AA21" s="9">
        <f t="shared" si="4"/>
        <v>4.5454545454545027E-3</v>
      </c>
      <c r="AB21" s="9">
        <f t="shared" si="5"/>
        <v>5.0083472454090861E-3</v>
      </c>
      <c r="AC21" s="9">
        <f t="shared" si="6"/>
        <v>5.698005698005576E-3</v>
      </c>
      <c r="AD21" s="9">
        <f t="shared" si="7"/>
        <v>4.5283018867924097E-3</v>
      </c>
      <c r="AE21" s="9">
        <f t="shared" si="8"/>
        <v>5.9084194977842164E-3</v>
      </c>
    </row>
    <row r="22" spans="2:31" x14ac:dyDescent="0.35">
      <c r="B22" s="15" t="s">
        <v>33</v>
      </c>
      <c r="C22" s="15">
        <v>2018</v>
      </c>
      <c r="D22" s="15" t="s">
        <v>40</v>
      </c>
      <c r="E22" s="15">
        <v>135.6</v>
      </c>
      <c r="F22" s="15">
        <v>148.6</v>
      </c>
      <c r="G22" s="15">
        <v>139.1</v>
      </c>
      <c r="H22" s="15">
        <v>141</v>
      </c>
      <c r="I22" s="15">
        <v>116.7</v>
      </c>
      <c r="J22" s="15">
        <v>149.69999999999999</v>
      </c>
      <c r="K22" s="15">
        <v>159.19999999999999</v>
      </c>
      <c r="L22" s="15">
        <v>112.6</v>
      </c>
      <c r="M22" s="5">
        <v>140.30000000000001</v>
      </c>
      <c r="N22" s="15">
        <f t="shared" si="1"/>
        <v>1242.8</v>
      </c>
      <c r="O22" s="15">
        <v>128.1</v>
      </c>
      <c r="P22" s="15">
        <v>133.6</v>
      </c>
      <c r="Q22" s="15">
        <v>120.1</v>
      </c>
      <c r="R22" s="15">
        <v>144</v>
      </c>
      <c r="S22" s="15">
        <v>133.6</v>
      </c>
      <c r="T22" s="15">
        <v>137.5</v>
      </c>
      <c r="V22" s="15">
        <v>2018</v>
      </c>
      <c r="W22" s="15" t="s">
        <v>40</v>
      </c>
      <c r="X22" s="15" t="str">
        <f t="shared" si="0"/>
        <v>July 2018</v>
      </c>
      <c r="Y22" s="9">
        <f t="shared" si="2"/>
        <v>1.4696276943174396E-2</v>
      </c>
      <c r="Z22" s="9">
        <f t="shared" si="3"/>
        <v>1.2648221343873473E-2</v>
      </c>
      <c r="AA22" s="9">
        <f t="shared" si="4"/>
        <v>7.5414781297134239E-3</v>
      </c>
      <c r="AB22" s="9">
        <f t="shared" si="5"/>
        <v>-2.4916943521595628E-3</v>
      </c>
      <c r="AC22" s="9">
        <f t="shared" si="6"/>
        <v>1.9830028328611981E-2</v>
      </c>
      <c r="AD22" s="9">
        <f t="shared" si="7"/>
        <v>3.7565740045078888E-3</v>
      </c>
      <c r="AE22" s="9">
        <f t="shared" si="8"/>
        <v>9.54478707782681E-3</v>
      </c>
    </row>
    <row r="23" spans="2:31" x14ac:dyDescent="0.35">
      <c r="B23" s="15" t="s">
        <v>33</v>
      </c>
      <c r="C23" s="15">
        <v>2018</v>
      </c>
      <c r="D23" s="15" t="s">
        <v>41</v>
      </c>
      <c r="E23" s="15">
        <v>136.5</v>
      </c>
      <c r="F23" s="15">
        <v>146.4</v>
      </c>
      <c r="G23" s="15">
        <v>136.6</v>
      </c>
      <c r="H23" s="15">
        <v>141.19999999999999</v>
      </c>
      <c r="I23" s="15">
        <v>117.4</v>
      </c>
      <c r="J23" s="15">
        <v>146.30000000000001</v>
      </c>
      <c r="K23" s="15">
        <v>157.30000000000001</v>
      </c>
      <c r="L23" s="15">
        <v>113.6</v>
      </c>
      <c r="M23" s="5">
        <v>141.1</v>
      </c>
      <c r="N23" s="15">
        <f t="shared" si="1"/>
        <v>1236.3999999999999</v>
      </c>
      <c r="O23" s="15">
        <v>129.80000000000001</v>
      </c>
      <c r="P23" s="15">
        <v>134.9</v>
      </c>
      <c r="Q23" s="15">
        <v>120.7</v>
      </c>
      <c r="R23" s="15">
        <v>145.30000000000001</v>
      </c>
      <c r="S23" s="15">
        <v>134.4</v>
      </c>
      <c r="T23" s="15">
        <v>138</v>
      </c>
      <c r="V23" s="15">
        <v>2018</v>
      </c>
      <c r="W23" s="15" t="s">
        <v>41</v>
      </c>
      <c r="X23" s="15" t="str">
        <f t="shared" si="0"/>
        <v>August 2018</v>
      </c>
      <c r="Y23" s="9">
        <f t="shared" si="2"/>
        <v>-5.149662053427817E-3</v>
      </c>
      <c r="Z23" s="9">
        <f t="shared" si="3"/>
        <v>1.3270882123341274E-2</v>
      </c>
      <c r="AA23" s="9">
        <f t="shared" si="4"/>
        <v>9.730538922155774E-3</v>
      </c>
      <c r="AB23" s="9">
        <f t="shared" si="5"/>
        <v>4.9958368026645173E-3</v>
      </c>
      <c r="AC23" s="9">
        <f t="shared" si="6"/>
        <v>9.0277777777778567E-3</v>
      </c>
      <c r="AD23" s="9">
        <f t="shared" si="7"/>
        <v>5.9880239520958937E-3</v>
      </c>
      <c r="AE23" s="9">
        <f t="shared" si="8"/>
        <v>3.6363636363636364E-3</v>
      </c>
    </row>
    <row r="24" spans="2:31" x14ac:dyDescent="0.35">
      <c r="B24" s="15" t="s">
        <v>33</v>
      </c>
      <c r="C24" s="15">
        <v>2018</v>
      </c>
      <c r="D24" s="15" t="s">
        <v>42</v>
      </c>
      <c r="E24" s="15">
        <v>137</v>
      </c>
      <c r="F24" s="15">
        <v>143.1</v>
      </c>
      <c r="G24" s="15">
        <v>132.80000000000001</v>
      </c>
      <c r="H24" s="15">
        <v>141.5</v>
      </c>
      <c r="I24" s="15">
        <v>117.8</v>
      </c>
      <c r="J24" s="15">
        <v>140</v>
      </c>
      <c r="K24" s="15">
        <v>151.30000000000001</v>
      </c>
      <c r="L24" s="15">
        <v>113.5</v>
      </c>
      <c r="M24" s="5">
        <v>141.19999999999999</v>
      </c>
      <c r="N24" s="15">
        <f t="shared" si="1"/>
        <v>1218.2</v>
      </c>
      <c r="O24" s="15">
        <v>131.19999999999999</v>
      </c>
      <c r="P24" s="15">
        <v>135.69999999999999</v>
      </c>
      <c r="Q24" s="15">
        <v>122.5</v>
      </c>
      <c r="R24" s="15">
        <v>145.19999999999999</v>
      </c>
      <c r="S24" s="15">
        <v>134.9</v>
      </c>
      <c r="T24" s="15">
        <v>138.1</v>
      </c>
      <c r="V24" s="15">
        <v>2018</v>
      </c>
      <c r="W24" s="15" t="s">
        <v>42</v>
      </c>
      <c r="X24" s="15" t="str">
        <f t="shared" si="0"/>
        <v>September 2018</v>
      </c>
      <c r="Y24" s="9">
        <f t="shared" si="2"/>
        <v>-1.4720155289550162E-2</v>
      </c>
      <c r="Z24" s="9">
        <f t="shared" si="3"/>
        <v>1.0785824345146203E-2</v>
      </c>
      <c r="AA24" s="9">
        <f t="shared" si="4"/>
        <v>5.9303187546329347E-3</v>
      </c>
      <c r="AB24" s="9">
        <f t="shared" si="5"/>
        <v>1.4913007456503704E-2</v>
      </c>
      <c r="AC24" s="9">
        <f t="shared" si="6"/>
        <v>-6.8823124569871114E-4</v>
      </c>
      <c r="AD24" s="9">
        <f t="shared" si="7"/>
        <v>3.720238095238095E-3</v>
      </c>
      <c r="AE24" s="9">
        <f t="shared" si="8"/>
        <v>7.246376811593791E-4</v>
      </c>
    </row>
    <row r="25" spans="2:31" x14ac:dyDescent="0.35">
      <c r="B25" s="15" t="s">
        <v>33</v>
      </c>
      <c r="C25" s="15">
        <v>2018</v>
      </c>
      <c r="D25" s="15" t="s">
        <v>43</v>
      </c>
      <c r="E25" s="15">
        <v>137.6</v>
      </c>
      <c r="F25" s="15">
        <v>144.9</v>
      </c>
      <c r="G25" s="15">
        <v>133.5</v>
      </c>
      <c r="H25" s="15">
        <v>141.5</v>
      </c>
      <c r="I25" s="15">
        <v>118</v>
      </c>
      <c r="J25" s="15">
        <v>139.5</v>
      </c>
      <c r="K25" s="15">
        <v>153</v>
      </c>
      <c r="L25" s="15">
        <v>113.2</v>
      </c>
      <c r="M25" s="5">
        <v>141.1</v>
      </c>
      <c r="N25" s="15">
        <f t="shared" si="1"/>
        <v>1222.3</v>
      </c>
      <c r="O25" s="15">
        <v>133.4</v>
      </c>
      <c r="P25" s="15">
        <v>136.19999999999999</v>
      </c>
      <c r="Q25" s="15">
        <v>123.3</v>
      </c>
      <c r="R25" s="15">
        <v>145.5</v>
      </c>
      <c r="S25" s="15">
        <v>135.1</v>
      </c>
      <c r="T25" s="15">
        <v>138.9</v>
      </c>
      <c r="V25" s="15">
        <v>2018</v>
      </c>
      <c r="W25" s="15" t="s">
        <v>43</v>
      </c>
      <c r="X25" s="15" t="str">
        <f t="shared" si="0"/>
        <v>October 2018</v>
      </c>
      <c r="Y25" s="9">
        <f t="shared" si="2"/>
        <v>3.3656214086356172E-3</v>
      </c>
      <c r="Z25" s="9">
        <f t="shared" si="3"/>
        <v>1.6768292682926962E-2</v>
      </c>
      <c r="AA25" s="9">
        <f t="shared" si="4"/>
        <v>3.6845983787767139E-3</v>
      </c>
      <c r="AB25" s="9">
        <f t="shared" si="5"/>
        <v>6.530612244897936E-3</v>
      </c>
      <c r="AC25" s="9">
        <f t="shared" si="6"/>
        <v>2.0661157024794174E-3</v>
      </c>
      <c r="AD25" s="9">
        <f t="shared" si="7"/>
        <v>1.482579688658181E-3</v>
      </c>
      <c r="AE25" s="9">
        <f t="shared" si="8"/>
        <v>5.7929036929761871E-3</v>
      </c>
    </row>
    <row r="26" spans="2:31" x14ac:dyDescent="0.35">
      <c r="B26" s="15" t="s">
        <v>33</v>
      </c>
      <c r="C26" s="15">
        <v>2018</v>
      </c>
      <c r="D26" s="15" t="s">
        <v>45</v>
      </c>
      <c r="E26" s="15">
        <v>138.1</v>
      </c>
      <c r="F26" s="15">
        <v>146.30000000000001</v>
      </c>
      <c r="G26" s="15">
        <v>137.80000000000001</v>
      </c>
      <c r="H26" s="15">
        <v>141.6</v>
      </c>
      <c r="I26" s="15">
        <v>118.1</v>
      </c>
      <c r="J26" s="15">
        <v>141.5</v>
      </c>
      <c r="K26" s="15">
        <v>145.19999999999999</v>
      </c>
      <c r="L26" s="15">
        <v>115.3</v>
      </c>
      <c r="M26" s="5">
        <v>141.4</v>
      </c>
      <c r="N26" s="15">
        <f t="shared" si="1"/>
        <v>1225.3</v>
      </c>
      <c r="O26" s="15">
        <v>136.69999999999999</v>
      </c>
      <c r="P26" s="15">
        <v>136.80000000000001</v>
      </c>
      <c r="Q26" s="15">
        <v>121.2</v>
      </c>
      <c r="R26" s="15">
        <v>146.1</v>
      </c>
      <c r="S26" s="15">
        <v>135.80000000000001</v>
      </c>
      <c r="T26" s="15">
        <v>139</v>
      </c>
      <c r="V26" s="15">
        <v>2018</v>
      </c>
      <c r="W26" s="15" t="s">
        <v>45</v>
      </c>
      <c r="X26" s="15" t="str">
        <f t="shared" si="0"/>
        <v>November 2018</v>
      </c>
      <c r="Y26" s="9">
        <f t="shared" si="2"/>
        <v>2.4543892661376093E-3</v>
      </c>
      <c r="Z26" s="9">
        <f t="shared" si="3"/>
        <v>2.4737631184407666E-2</v>
      </c>
      <c r="AA26" s="9">
        <f t="shared" si="4"/>
        <v>4.4052863436125017E-3</v>
      </c>
      <c r="AB26" s="9">
        <f t="shared" si="5"/>
        <v>-1.7031630170316257E-2</v>
      </c>
      <c r="AC26" s="9">
        <f t="shared" si="6"/>
        <v>4.1237113402061466E-3</v>
      </c>
      <c r="AD26" s="9">
        <f t="shared" si="7"/>
        <v>5.1813471502591942E-3</v>
      </c>
      <c r="AE26" s="9">
        <f t="shared" si="8"/>
        <v>7.1994240460759049E-4</v>
      </c>
    </row>
    <row r="27" spans="2:31" x14ac:dyDescent="0.35">
      <c r="B27" s="15" t="s">
        <v>33</v>
      </c>
      <c r="C27" s="15">
        <v>2018</v>
      </c>
      <c r="D27" s="15" t="s">
        <v>46</v>
      </c>
      <c r="E27" s="15">
        <v>138.5</v>
      </c>
      <c r="F27" s="15">
        <v>147.80000000000001</v>
      </c>
      <c r="G27" s="15">
        <v>141.1</v>
      </c>
      <c r="H27" s="15">
        <v>141.6</v>
      </c>
      <c r="I27" s="15">
        <v>118.1</v>
      </c>
      <c r="J27" s="15">
        <v>138.5</v>
      </c>
      <c r="K27" s="15">
        <v>132.4</v>
      </c>
      <c r="L27" s="15">
        <v>117.5</v>
      </c>
      <c r="M27" s="5">
        <v>141.5</v>
      </c>
      <c r="N27" s="15">
        <f t="shared" si="1"/>
        <v>1217</v>
      </c>
      <c r="O27" s="15">
        <v>132.4</v>
      </c>
      <c r="P27" s="15">
        <v>137.30000000000001</v>
      </c>
      <c r="Q27" s="15">
        <v>118.8</v>
      </c>
      <c r="R27" s="15">
        <v>146.5</v>
      </c>
      <c r="S27" s="15">
        <v>136.19999999999999</v>
      </c>
      <c r="T27" s="15">
        <v>138</v>
      </c>
      <c r="V27" s="15">
        <v>2018</v>
      </c>
      <c r="W27" s="15" t="s">
        <v>46</v>
      </c>
      <c r="X27" s="15" t="str">
        <f t="shared" si="0"/>
        <v>December 2018</v>
      </c>
      <c r="Y27" s="9">
        <f t="shared" si="2"/>
        <v>-6.7738513017219903E-3</v>
      </c>
      <c r="Z27" s="9">
        <f t="shared" si="3"/>
        <v>-3.1455742501828698E-2</v>
      </c>
      <c r="AA27" s="9">
        <f t="shared" si="4"/>
        <v>3.6549707602339179E-3</v>
      </c>
      <c r="AB27" s="9">
        <f t="shared" si="5"/>
        <v>-1.9801980198019847E-2</v>
      </c>
      <c r="AC27" s="9">
        <f t="shared" si="6"/>
        <v>2.7378507871321403E-3</v>
      </c>
      <c r="AD27" s="9">
        <f t="shared" si="7"/>
        <v>2.9455081001471075E-3</v>
      </c>
      <c r="AE27" s="9">
        <f t="shared" si="8"/>
        <v>-7.1942446043165471E-3</v>
      </c>
    </row>
    <row r="28" spans="2:31" x14ac:dyDescent="0.35">
      <c r="B28" s="15" t="s">
        <v>33</v>
      </c>
      <c r="C28" s="15">
        <v>2019</v>
      </c>
      <c r="D28" s="15" t="s">
        <v>31</v>
      </c>
      <c r="E28" s="15">
        <v>138.30000000000001</v>
      </c>
      <c r="F28" s="15">
        <v>149.4</v>
      </c>
      <c r="G28" s="15">
        <v>143.5</v>
      </c>
      <c r="H28" s="15">
        <v>141.69999999999999</v>
      </c>
      <c r="I28" s="15">
        <v>118.1</v>
      </c>
      <c r="J28" s="15">
        <v>135.19999999999999</v>
      </c>
      <c r="K28" s="15">
        <v>130.5</v>
      </c>
      <c r="L28" s="15">
        <v>118.2</v>
      </c>
      <c r="M28" s="5">
        <v>140.4</v>
      </c>
      <c r="N28" s="15">
        <f t="shared" si="1"/>
        <v>1215.3000000000002</v>
      </c>
      <c r="O28" s="15">
        <v>128.6</v>
      </c>
      <c r="P28" s="15">
        <v>137.80000000000001</v>
      </c>
      <c r="Q28" s="15">
        <v>118.6</v>
      </c>
      <c r="R28" s="15">
        <v>146.6</v>
      </c>
      <c r="S28" s="15">
        <v>136.30000000000001</v>
      </c>
      <c r="T28" s="15">
        <v>138</v>
      </c>
      <c r="V28" s="15">
        <v>2019</v>
      </c>
      <c r="W28" s="15" t="s">
        <v>31</v>
      </c>
      <c r="X28" s="15" t="str">
        <f t="shared" si="0"/>
        <v>January 2019</v>
      </c>
      <c r="Y28" s="9">
        <f t="shared" si="2"/>
        <v>-1.3968775677894972E-3</v>
      </c>
      <c r="Z28" s="9">
        <f t="shared" si="3"/>
        <v>-2.870090634441096E-2</v>
      </c>
      <c r="AA28" s="9">
        <f t="shared" si="4"/>
        <v>3.6416605972323375E-3</v>
      </c>
      <c r="AB28" s="9">
        <f t="shared" si="5"/>
        <v>-1.6835016835017075E-3</v>
      </c>
      <c r="AC28" s="9">
        <f t="shared" si="6"/>
        <v>6.8259385665525129E-4</v>
      </c>
      <c r="AD28" s="9">
        <f t="shared" si="7"/>
        <v>7.3421439060222284E-4</v>
      </c>
      <c r="AE28" s="9">
        <f t="shared" si="8"/>
        <v>0</v>
      </c>
    </row>
    <row r="29" spans="2:31" x14ac:dyDescent="0.35">
      <c r="B29" s="15" t="s">
        <v>33</v>
      </c>
      <c r="C29" s="15">
        <v>2019</v>
      </c>
      <c r="D29" s="15" t="s">
        <v>35</v>
      </c>
      <c r="E29" s="15">
        <v>139.4</v>
      </c>
      <c r="F29" s="15">
        <v>150.1</v>
      </c>
      <c r="G29" s="15">
        <v>145.30000000000001</v>
      </c>
      <c r="H29" s="15">
        <v>141.69999999999999</v>
      </c>
      <c r="I29" s="15">
        <v>118.4</v>
      </c>
      <c r="J29" s="15">
        <v>137</v>
      </c>
      <c r="K29" s="15">
        <v>131.6</v>
      </c>
      <c r="L29" s="15">
        <v>119.9</v>
      </c>
      <c r="M29" s="5">
        <v>140.80000000000001</v>
      </c>
      <c r="N29" s="15">
        <f t="shared" si="1"/>
        <v>1224.2</v>
      </c>
      <c r="O29" s="15">
        <v>127.1</v>
      </c>
      <c r="P29" s="15">
        <v>138.5</v>
      </c>
      <c r="Q29" s="15">
        <v>119.2</v>
      </c>
      <c r="R29" s="15">
        <v>146.6</v>
      </c>
      <c r="S29" s="15">
        <v>136.6</v>
      </c>
      <c r="T29" s="15">
        <v>138.6</v>
      </c>
      <c r="V29" s="15">
        <v>2019</v>
      </c>
      <c r="W29" s="15" t="s">
        <v>35</v>
      </c>
      <c r="X29" s="15" t="str">
        <f t="shared" si="0"/>
        <v>February 2019</v>
      </c>
      <c r="Y29" s="9">
        <f t="shared" si="2"/>
        <v>7.3232946597546799E-3</v>
      </c>
      <c r="Z29" s="9">
        <f t="shared" si="3"/>
        <v>-1.1664074650077761E-2</v>
      </c>
      <c r="AA29" s="9">
        <f t="shared" si="4"/>
        <v>5.0798258345427331E-3</v>
      </c>
      <c r="AB29" s="9">
        <f t="shared" si="5"/>
        <v>5.0590219224284022E-3</v>
      </c>
      <c r="AC29" s="9">
        <f t="shared" si="6"/>
        <v>0</v>
      </c>
      <c r="AD29" s="9">
        <f t="shared" si="7"/>
        <v>2.201027146001342E-3</v>
      </c>
      <c r="AE29" s="9">
        <f t="shared" si="8"/>
        <v>4.3478260869564802E-3</v>
      </c>
    </row>
    <row r="30" spans="2:31" x14ac:dyDescent="0.35">
      <c r="B30" s="15" t="s">
        <v>33</v>
      </c>
      <c r="C30" s="15">
        <v>2019</v>
      </c>
      <c r="D30" s="15" t="s">
        <v>36</v>
      </c>
      <c r="E30" s="15">
        <v>139.69999999999999</v>
      </c>
      <c r="F30" s="15">
        <v>151.1</v>
      </c>
      <c r="G30" s="15">
        <v>142.9</v>
      </c>
      <c r="H30" s="15">
        <v>141.9</v>
      </c>
      <c r="I30" s="15">
        <v>118.4</v>
      </c>
      <c r="J30" s="15">
        <v>139.4</v>
      </c>
      <c r="K30" s="15">
        <v>141.19999999999999</v>
      </c>
      <c r="L30" s="15">
        <v>120.7</v>
      </c>
      <c r="M30" s="5">
        <v>140.69999999999999</v>
      </c>
      <c r="N30" s="15">
        <f t="shared" si="1"/>
        <v>1236</v>
      </c>
      <c r="O30" s="15">
        <v>128.80000000000001</v>
      </c>
      <c r="P30" s="15">
        <v>139.19999999999999</v>
      </c>
      <c r="Q30" s="15">
        <v>119.9</v>
      </c>
      <c r="R30" s="15">
        <v>146.69999999999999</v>
      </c>
      <c r="S30" s="15">
        <v>136.80000000000001</v>
      </c>
      <c r="T30" s="15">
        <v>139.5</v>
      </c>
      <c r="V30" s="15">
        <v>2019</v>
      </c>
      <c r="W30" s="15" t="s">
        <v>36</v>
      </c>
      <c r="X30" s="15" t="str">
        <f t="shared" si="0"/>
        <v>March 2019</v>
      </c>
      <c r="Y30" s="9">
        <f t="shared" si="2"/>
        <v>9.6389478843325882E-3</v>
      </c>
      <c r="Z30" s="9">
        <f t="shared" si="3"/>
        <v>1.3375295043273148E-2</v>
      </c>
      <c r="AA30" s="9">
        <f t="shared" si="4"/>
        <v>5.0541516245486548E-3</v>
      </c>
      <c r="AB30" s="9">
        <f t="shared" si="5"/>
        <v>5.8724832214765337E-3</v>
      </c>
      <c r="AC30" s="9">
        <f t="shared" si="6"/>
        <v>6.8212824010910182E-4</v>
      </c>
      <c r="AD30" s="9">
        <f t="shared" si="7"/>
        <v>1.4641288433383387E-3</v>
      </c>
      <c r="AE30" s="9">
        <f t="shared" si="8"/>
        <v>6.4935064935065347E-3</v>
      </c>
    </row>
    <row r="31" spans="2:31" x14ac:dyDescent="0.35">
      <c r="B31" s="15" t="s">
        <v>33</v>
      </c>
      <c r="C31" s="15">
        <v>2019</v>
      </c>
      <c r="D31" s="15" t="s">
        <v>38</v>
      </c>
      <c r="E31" s="15">
        <v>140.4</v>
      </c>
      <c r="F31" s="15">
        <v>156.69999999999999</v>
      </c>
      <c r="G31" s="15">
        <v>138.30000000000001</v>
      </c>
      <c r="H31" s="15">
        <v>142.4</v>
      </c>
      <c r="I31" s="15">
        <v>118.6</v>
      </c>
      <c r="J31" s="15">
        <v>149.69999999999999</v>
      </c>
      <c r="K31" s="15">
        <v>161.6</v>
      </c>
      <c r="L31" s="15">
        <v>124.4</v>
      </c>
      <c r="M31" s="5">
        <v>141</v>
      </c>
      <c r="N31" s="15">
        <f t="shared" si="1"/>
        <v>1273.1000000000001</v>
      </c>
      <c r="O31" s="15">
        <v>129.4</v>
      </c>
      <c r="P31" s="15">
        <v>139.80000000000001</v>
      </c>
      <c r="Q31" s="15">
        <v>120.1</v>
      </c>
      <c r="R31" s="15">
        <v>148</v>
      </c>
      <c r="S31" s="15">
        <v>137.19999999999999</v>
      </c>
      <c r="T31" s="15">
        <v>141.5</v>
      </c>
      <c r="V31" s="15">
        <v>2019</v>
      </c>
      <c r="W31" s="15" t="s">
        <v>38</v>
      </c>
      <c r="X31" s="15" t="str">
        <f t="shared" si="0"/>
        <v>May 2019</v>
      </c>
      <c r="Y31" s="9">
        <f t="shared" si="2"/>
        <v>3.0016181229773575E-2</v>
      </c>
      <c r="Z31" s="9">
        <f t="shared" si="3"/>
        <v>4.6583850931676577E-3</v>
      </c>
      <c r="AA31" s="9">
        <f t="shared" si="4"/>
        <v>4.3103448275863708E-3</v>
      </c>
      <c r="AB31" s="9">
        <f t="shared" si="5"/>
        <v>1.6680567139281787E-3</v>
      </c>
      <c r="AC31" s="9">
        <f t="shared" si="6"/>
        <v>8.8616223585549526E-3</v>
      </c>
      <c r="AD31" s="9">
        <f t="shared" si="7"/>
        <v>2.9239766081869682E-3</v>
      </c>
      <c r="AE31" s="9">
        <f t="shared" si="8"/>
        <v>1.4336917562724014E-2</v>
      </c>
    </row>
    <row r="32" spans="2:31" x14ac:dyDescent="0.35">
      <c r="B32" s="15" t="s">
        <v>33</v>
      </c>
      <c r="C32" s="15">
        <v>2019</v>
      </c>
      <c r="D32" s="15" t="s">
        <v>39</v>
      </c>
      <c r="E32" s="15">
        <v>140.69999999999999</v>
      </c>
      <c r="F32" s="15">
        <v>159.6</v>
      </c>
      <c r="G32" s="15">
        <v>140.4</v>
      </c>
      <c r="H32" s="15">
        <v>143.4</v>
      </c>
      <c r="I32" s="15">
        <v>118.6</v>
      </c>
      <c r="J32" s="15">
        <v>150.9</v>
      </c>
      <c r="K32" s="15">
        <v>169.8</v>
      </c>
      <c r="L32" s="15">
        <v>127.4</v>
      </c>
      <c r="M32" s="5">
        <v>141</v>
      </c>
      <c r="N32" s="15">
        <f t="shared" si="1"/>
        <v>1291.8</v>
      </c>
      <c r="O32" s="15">
        <v>130.5</v>
      </c>
      <c r="P32" s="15">
        <v>140.30000000000001</v>
      </c>
      <c r="Q32" s="15">
        <v>119.6</v>
      </c>
      <c r="R32" s="15">
        <v>148.9</v>
      </c>
      <c r="S32" s="15">
        <v>137.4</v>
      </c>
      <c r="T32" s="15">
        <v>142.1</v>
      </c>
      <c r="V32" s="15">
        <v>2019</v>
      </c>
      <c r="W32" s="15" t="s">
        <v>39</v>
      </c>
      <c r="X32" s="15" t="str">
        <f t="shared" si="0"/>
        <v>June 2019</v>
      </c>
      <c r="Y32" s="9">
        <f t="shared" si="2"/>
        <v>1.4688555494462192E-2</v>
      </c>
      <c r="Z32" s="9">
        <f t="shared" si="3"/>
        <v>8.500772797527003E-3</v>
      </c>
      <c r="AA32" s="9">
        <f t="shared" si="4"/>
        <v>3.5765379113018594E-3</v>
      </c>
      <c r="AB32" s="9">
        <f t="shared" si="5"/>
        <v>-4.163197335553705E-3</v>
      </c>
      <c r="AC32" s="9">
        <f t="shared" si="6"/>
        <v>6.0810810810811196E-3</v>
      </c>
      <c r="AD32" s="9">
        <f t="shared" si="7"/>
        <v>1.4577259475219903E-3</v>
      </c>
      <c r="AE32" s="9">
        <f t="shared" si="8"/>
        <v>4.2402826855123272E-3</v>
      </c>
    </row>
    <row r="33" spans="2:31" x14ac:dyDescent="0.35">
      <c r="B33" s="15" t="s">
        <v>33</v>
      </c>
      <c r="C33" s="15">
        <v>2019</v>
      </c>
      <c r="D33" s="15" t="s">
        <v>40</v>
      </c>
      <c r="E33" s="15">
        <v>141.4</v>
      </c>
      <c r="F33" s="15">
        <v>160.19999999999999</v>
      </c>
      <c r="G33" s="15">
        <v>142.5</v>
      </c>
      <c r="H33" s="15">
        <v>144.1</v>
      </c>
      <c r="I33" s="15">
        <v>119.3</v>
      </c>
      <c r="J33" s="15">
        <v>154.69999999999999</v>
      </c>
      <c r="K33" s="15">
        <v>180.1</v>
      </c>
      <c r="L33" s="15">
        <v>128.9</v>
      </c>
      <c r="M33" s="5">
        <v>141.6</v>
      </c>
      <c r="N33" s="15">
        <f t="shared" si="1"/>
        <v>1312.8</v>
      </c>
      <c r="O33" s="15">
        <v>127</v>
      </c>
      <c r="P33" s="15">
        <v>140.80000000000001</v>
      </c>
      <c r="Q33" s="15">
        <v>120.6</v>
      </c>
      <c r="R33" s="15">
        <v>150.4</v>
      </c>
      <c r="S33" s="15">
        <v>137.69999999999999</v>
      </c>
      <c r="T33" s="15">
        <v>143.30000000000001</v>
      </c>
      <c r="V33" s="15">
        <v>2019</v>
      </c>
      <c r="W33" s="15" t="s">
        <v>40</v>
      </c>
      <c r="X33" s="15" t="str">
        <f t="shared" si="0"/>
        <v>July 2019</v>
      </c>
      <c r="Y33" s="9">
        <f t="shared" si="2"/>
        <v>1.6256386437529032E-2</v>
      </c>
      <c r="Z33" s="9">
        <f t="shared" si="3"/>
        <v>-2.681992337164751E-2</v>
      </c>
      <c r="AA33" s="9">
        <f t="shared" si="4"/>
        <v>3.5637918745545258E-3</v>
      </c>
      <c r="AB33" s="9">
        <f t="shared" si="5"/>
        <v>8.3612040133779261E-3</v>
      </c>
      <c r="AC33" s="9">
        <f t="shared" si="6"/>
        <v>1.0073875083948958E-2</v>
      </c>
      <c r="AD33" s="9">
        <f t="shared" si="7"/>
        <v>2.1834061135369938E-3</v>
      </c>
      <c r="AE33" s="9">
        <f t="shared" si="8"/>
        <v>8.4447572132302397E-3</v>
      </c>
    </row>
    <row r="34" spans="2:31" x14ac:dyDescent="0.35">
      <c r="B34" s="15" t="s">
        <v>33</v>
      </c>
      <c r="C34" s="15">
        <v>2019</v>
      </c>
      <c r="D34" s="15" t="s">
        <v>41</v>
      </c>
      <c r="E34" s="15">
        <v>142.1</v>
      </c>
      <c r="F34" s="15">
        <v>158.30000000000001</v>
      </c>
      <c r="G34" s="15">
        <v>140.80000000000001</v>
      </c>
      <c r="H34" s="15">
        <v>144.9</v>
      </c>
      <c r="I34" s="15">
        <v>119.9</v>
      </c>
      <c r="J34" s="15">
        <v>153.9</v>
      </c>
      <c r="K34" s="15">
        <v>189.1</v>
      </c>
      <c r="L34" s="15">
        <v>129.80000000000001</v>
      </c>
      <c r="M34" s="5">
        <v>142.5</v>
      </c>
      <c r="N34" s="15">
        <f t="shared" si="1"/>
        <v>1321.3</v>
      </c>
      <c r="O34" s="15">
        <v>125.5</v>
      </c>
      <c r="P34" s="15">
        <v>141.5</v>
      </c>
      <c r="Q34" s="15">
        <v>120.8</v>
      </c>
      <c r="R34" s="15">
        <v>151.5</v>
      </c>
      <c r="S34" s="15">
        <v>138.1</v>
      </c>
      <c r="T34" s="15">
        <v>144.19999999999999</v>
      </c>
      <c r="V34" s="15">
        <v>2019</v>
      </c>
      <c r="W34" s="15" t="s">
        <v>41</v>
      </c>
      <c r="X34" s="15" t="str">
        <f t="shared" si="0"/>
        <v>August 2019</v>
      </c>
      <c r="Y34" s="9">
        <f t="shared" si="2"/>
        <v>6.4747105423522246E-3</v>
      </c>
      <c r="Z34" s="9">
        <f t="shared" si="3"/>
        <v>-1.1811023622047244E-2</v>
      </c>
      <c r="AA34" s="9">
        <f t="shared" si="4"/>
        <v>4.9715909090908283E-3</v>
      </c>
      <c r="AB34" s="9">
        <f t="shared" si="5"/>
        <v>1.6583747927031746E-3</v>
      </c>
      <c r="AC34" s="9">
        <f t="shared" si="6"/>
        <v>7.3138297872340045E-3</v>
      </c>
      <c r="AD34" s="9">
        <f t="shared" si="7"/>
        <v>2.9048656499637308E-3</v>
      </c>
      <c r="AE34" s="9">
        <f t="shared" si="8"/>
        <v>6.2805303558965608E-3</v>
      </c>
    </row>
    <row r="35" spans="2:31" x14ac:dyDescent="0.35">
      <c r="B35" s="15" t="s">
        <v>33</v>
      </c>
      <c r="C35" s="15">
        <v>2019</v>
      </c>
      <c r="D35" s="15" t="s">
        <v>42</v>
      </c>
      <c r="E35" s="15">
        <v>142.69999999999999</v>
      </c>
      <c r="F35" s="15">
        <v>158.69999999999999</v>
      </c>
      <c r="G35" s="15">
        <v>141.6</v>
      </c>
      <c r="H35" s="15">
        <v>144.9</v>
      </c>
      <c r="I35" s="15">
        <v>120.8</v>
      </c>
      <c r="J35" s="15">
        <v>149.80000000000001</v>
      </c>
      <c r="K35" s="15">
        <v>192.4</v>
      </c>
      <c r="L35" s="15">
        <v>130.30000000000001</v>
      </c>
      <c r="M35" s="5">
        <v>143.80000000000001</v>
      </c>
      <c r="N35" s="15">
        <f t="shared" si="1"/>
        <v>1325</v>
      </c>
      <c r="O35" s="15">
        <v>126.6</v>
      </c>
      <c r="P35" s="15">
        <v>141.9</v>
      </c>
      <c r="Q35" s="15">
        <v>121.2</v>
      </c>
      <c r="R35" s="15">
        <v>151.6</v>
      </c>
      <c r="S35" s="15">
        <v>138.30000000000001</v>
      </c>
      <c r="T35" s="15">
        <v>144.69999999999999</v>
      </c>
      <c r="V35" s="15">
        <v>2019</v>
      </c>
      <c r="W35" s="15" t="s">
        <v>42</v>
      </c>
      <c r="X35" s="15" t="str">
        <f t="shared" si="0"/>
        <v>September 2019</v>
      </c>
      <c r="Y35" s="9">
        <f t="shared" si="2"/>
        <v>2.8002724589419855E-3</v>
      </c>
      <c r="Z35" s="9">
        <f t="shared" si="3"/>
        <v>8.7649402390437801E-3</v>
      </c>
      <c r="AA35" s="9">
        <f t="shared" si="4"/>
        <v>2.8268551236749519E-3</v>
      </c>
      <c r="AB35" s="9">
        <f t="shared" si="5"/>
        <v>3.3112582781457426E-3</v>
      </c>
      <c r="AC35" s="9">
        <f t="shared" si="6"/>
        <v>6.6006600660062256E-4</v>
      </c>
      <c r="AD35" s="9">
        <f t="shared" si="7"/>
        <v>1.4482259232441496E-3</v>
      </c>
      <c r="AE35" s="9">
        <f t="shared" si="8"/>
        <v>3.4674063800277394E-3</v>
      </c>
    </row>
    <row r="36" spans="2:31" x14ac:dyDescent="0.35">
      <c r="B36" s="15" t="s">
        <v>33</v>
      </c>
      <c r="C36" s="15">
        <v>2019</v>
      </c>
      <c r="D36" s="15" t="s">
        <v>43</v>
      </c>
      <c r="E36" s="15">
        <v>143.5</v>
      </c>
      <c r="F36" s="15">
        <v>159.80000000000001</v>
      </c>
      <c r="G36" s="15">
        <v>144.69999999999999</v>
      </c>
      <c r="H36" s="15">
        <v>145.6</v>
      </c>
      <c r="I36" s="15">
        <v>121.1</v>
      </c>
      <c r="J36" s="15">
        <v>150.6</v>
      </c>
      <c r="K36" s="15">
        <v>207.2</v>
      </c>
      <c r="L36" s="15">
        <v>131.19999999999999</v>
      </c>
      <c r="M36" s="5">
        <v>145.19999999999999</v>
      </c>
      <c r="N36" s="15">
        <f t="shared" si="1"/>
        <v>1348.9</v>
      </c>
      <c r="O36" s="15">
        <v>128.9</v>
      </c>
      <c r="P36" s="15">
        <v>142.4</v>
      </c>
      <c r="Q36" s="15">
        <v>121.5</v>
      </c>
      <c r="R36" s="15">
        <v>151.69999999999999</v>
      </c>
      <c r="S36" s="15">
        <v>138.69999999999999</v>
      </c>
      <c r="T36" s="15">
        <v>146</v>
      </c>
      <c r="V36" s="15">
        <v>2019</v>
      </c>
      <c r="W36" s="15" t="s">
        <v>43</v>
      </c>
      <c r="X36" s="15" t="str">
        <f t="shared" si="0"/>
        <v>October 2019</v>
      </c>
      <c r="Y36" s="9">
        <f t="shared" si="2"/>
        <v>1.8037735849056671E-2</v>
      </c>
      <c r="Z36" s="9">
        <f t="shared" si="3"/>
        <v>1.8167456556082238E-2</v>
      </c>
      <c r="AA36" s="9">
        <f t="shared" si="4"/>
        <v>3.5236081747709652E-3</v>
      </c>
      <c r="AB36" s="9">
        <f t="shared" si="5"/>
        <v>2.4752475247524519E-3</v>
      </c>
      <c r="AC36" s="9">
        <f t="shared" si="6"/>
        <v>6.5963060686012088E-4</v>
      </c>
      <c r="AD36" s="9">
        <f t="shared" si="7"/>
        <v>2.8922631959506667E-3</v>
      </c>
      <c r="AE36" s="9">
        <f t="shared" si="8"/>
        <v>8.9841050449206046E-3</v>
      </c>
    </row>
    <row r="37" spans="2:31" x14ac:dyDescent="0.35">
      <c r="B37" s="15" t="s">
        <v>33</v>
      </c>
      <c r="C37" s="15">
        <v>2019</v>
      </c>
      <c r="D37" s="15" t="s">
        <v>45</v>
      </c>
      <c r="E37" s="15">
        <v>144.1</v>
      </c>
      <c r="F37" s="15">
        <v>162.4</v>
      </c>
      <c r="G37" s="15">
        <v>148.4</v>
      </c>
      <c r="H37" s="15">
        <v>145.9</v>
      </c>
      <c r="I37" s="15">
        <v>121.5</v>
      </c>
      <c r="J37" s="15">
        <v>148.80000000000001</v>
      </c>
      <c r="K37" s="15">
        <v>215.7</v>
      </c>
      <c r="L37" s="15">
        <v>134.6</v>
      </c>
      <c r="M37" s="5">
        <v>146.30000000000001</v>
      </c>
      <c r="N37" s="15">
        <f t="shared" si="1"/>
        <v>1367.6999999999998</v>
      </c>
      <c r="O37" s="15">
        <v>132.19999999999999</v>
      </c>
      <c r="P37" s="15">
        <v>142.80000000000001</v>
      </c>
      <c r="Q37" s="15">
        <v>121.7</v>
      </c>
      <c r="R37" s="15">
        <v>151.80000000000001</v>
      </c>
      <c r="S37" s="15">
        <v>139.1</v>
      </c>
      <c r="T37" s="15">
        <v>147</v>
      </c>
      <c r="V37" s="15">
        <v>2019</v>
      </c>
      <c r="W37" s="15" t="s">
        <v>45</v>
      </c>
      <c r="X37" s="15" t="str">
        <f t="shared" si="0"/>
        <v>November 2019</v>
      </c>
      <c r="Y37" s="9">
        <f t="shared" si="2"/>
        <v>1.3937282229964954E-2</v>
      </c>
      <c r="Z37" s="9">
        <f t="shared" si="3"/>
        <v>2.5601241272303978E-2</v>
      </c>
      <c r="AA37" s="9">
        <f t="shared" si="4"/>
        <v>2.8089887640449836E-3</v>
      </c>
      <c r="AB37" s="9">
        <f t="shared" si="5"/>
        <v>1.6460905349794473E-3</v>
      </c>
      <c r="AC37" s="9">
        <f t="shared" si="6"/>
        <v>6.5919578114715055E-4</v>
      </c>
      <c r="AD37" s="9">
        <f t="shared" si="7"/>
        <v>2.8839221341024203E-3</v>
      </c>
      <c r="AE37" s="9">
        <f t="shared" si="8"/>
        <v>6.8493150684931503E-3</v>
      </c>
    </row>
    <row r="38" spans="2:31" x14ac:dyDescent="0.35">
      <c r="B38" s="15" t="s">
        <v>33</v>
      </c>
      <c r="C38" s="15">
        <v>2019</v>
      </c>
      <c r="D38" s="15" t="s">
        <v>46</v>
      </c>
      <c r="E38" s="15">
        <v>144.9</v>
      </c>
      <c r="F38" s="15">
        <v>164.5</v>
      </c>
      <c r="G38" s="15">
        <v>153.69999999999999</v>
      </c>
      <c r="H38" s="15">
        <v>147.5</v>
      </c>
      <c r="I38" s="15">
        <v>122.7</v>
      </c>
      <c r="J38" s="15">
        <v>147.19999999999999</v>
      </c>
      <c r="K38" s="15">
        <v>231.5</v>
      </c>
      <c r="L38" s="15">
        <v>137.19999999999999</v>
      </c>
      <c r="M38" s="5">
        <v>148</v>
      </c>
      <c r="N38" s="15">
        <f t="shared" si="1"/>
        <v>1397.2</v>
      </c>
      <c r="O38" s="15">
        <v>133.6</v>
      </c>
      <c r="P38" s="15">
        <v>143.19999999999999</v>
      </c>
      <c r="Q38" s="15">
        <v>125.2</v>
      </c>
      <c r="R38" s="15">
        <v>151.9</v>
      </c>
      <c r="S38" s="15">
        <v>139.80000000000001</v>
      </c>
      <c r="T38" s="15">
        <v>148.30000000000001</v>
      </c>
      <c r="V38" s="15">
        <v>2019</v>
      </c>
      <c r="W38" s="15" t="s">
        <v>46</v>
      </c>
      <c r="X38" s="15" t="str">
        <f t="shared" si="0"/>
        <v>December 2019</v>
      </c>
      <c r="Y38" s="9">
        <f t="shared" si="2"/>
        <v>2.1569057541858765E-2</v>
      </c>
      <c r="Z38" s="9">
        <f t="shared" si="3"/>
        <v>1.0590015128593085E-2</v>
      </c>
      <c r="AA38" s="9">
        <f t="shared" si="4"/>
        <v>2.8011204481791121E-3</v>
      </c>
      <c r="AB38" s="9">
        <f t="shared" si="5"/>
        <v>2.8759244042728019E-2</v>
      </c>
      <c r="AC38" s="9">
        <f t="shared" si="6"/>
        <v>6.5876152832670823E-4</v>
      </c>
      <c r="AD38" s="9">
        <f t="shared" si="7"/>
        <v>5.0323508267434728E-3</v>
      </c>
      <c r="AE38" s="9">
        <f t="shared" si="8"/>
        <v>8.8435374149660635E-3</v>
      </c>
    </row>
    <row r="39" spans="2:31" x14ac:dyDescent="0.35">
      <c r="B39" s="15" t="s">
        <v>33</v>
      </c>
      <c r="C39" s="15">
        <v>2020</v>
      </c>
      <c r="D39" s="15" t="s">
        <v>31</v>
      </c>
      <c r="E39" s="15">
        <v>145.6</v>
      </c>
      <c r="F39" s="15">
        <v>167.6</v>
      </c>
      <c r="G39" s="15">
        <v>157</v>
      </c>
      <c r="H39" s="15">
        <v>149.30000000000001</v>
      </c>
      <c r="I39" s="15">
        <v>126.3</v>
      </c>
      <c r="J39" s="15">
        <v>144.4</v>
      </c>
      <c r="K39" s="15">
        <v>207.8</v>
      </c>
      <c r="L39" s="15">
        <v>139.1</v>
      </c>
      <c r="M39" s="5">
        <v>149.5</v>
      </c>
      <c r="N39" s="15">
        <f t="shared" si="1"/>
        <v>1386.6</v>
      </c>
      <c r="O39" s="15">
        <v>135.1</v>
      </c>
      <c r="P39" s="15">
        <v>143.80000000000001</v>
      </c>
      <c r="Q39" s="15">
        <v>126.1</v>
      </c>
      <c r="R39" s="15">
        <v>152.1</v>
      </c>
      <c r="S39" s="15">
        <v>140.1</v>
      </c>
      <c r="T39" s="15">
        <v>148.19999999999999</v>
      </c>
      <c r="V39" s="15">
        <v>2020</v>
      </c>
      <c r="W39" s="15" t="s">
        <v>31</v>
      </c>
      <c r="X39" s="15" t="str">
        <f t="shared" si="0"/>
        <v>January 2020</v>
      </c>
      <c r="Y39" s="9">
        <f t="shared" si="2"/>
        <v>-7.5866017749786257E-3</v>
      </c>
      <c r="Z39" s="9">
        <f t="shared" si="3"/>
        <v>1.1227544910179641E-2</v>
      </c>
      <c r="AA39" s="9">
        <f t="shared" si="4"/>
        <v>4.1899441340783718E-3</v>
      </c>
      <c r="AB39" s="9">
        <f t="shared" si="5"/>
        <v>7.1884984025558426E-3</v>
      </c>
      <c r="AC39" s="9">
        <f t="shared" si="6"/>
        <v>1.316655694535804E-3</v>
      </c>
      <c r="AD39" s="9">
        <f t="shared" si="7"/>
        <v>2.1459227467809936E-3</v>
      </c>
      <c r="AE39" s="9">
        <f t="shared" si="8"/>
        <v>-6.7430883344587144E-4</v>
      </c>
    </row>
    <row r="40" spans="2:31" x14ac:dyDescent="0.35">
      <c r="B40" s="15" t="s">
        <v>33</v>
      </c>
      <c r="C40" s="15">
        <v>2020</v>
      </c>
      <c r="D40" s="15" t="s">
        <v>35</v>
      </c>
      <c r="E40" s="15">
        <v>146.19999999999999</v>
      </c>
      <c r="F40" s="15">
        <v>167.6</v>
      </c>
      <c r="G40" s="15">
        <v>153.1</v>
      </c>
      <c r="H40" s="15">
        <v>150.69999999999999</v>
      </c>
      <c r="I40" s="15">
        <v>127.4</v>
      </c>
      <c r="J40" s="15">
        <v>143.1</v>
      </c>
      <c r="K40" s="15">
        <v>181.7</v>
      </c>
      <c r="L40" s="15">
        <v>139.6</v>
      </c>
      <c r="M40" s="5">
        <v>150.4</v>
      </c>
      <c r="N40" s="15">
        <f t="shared" si="1"/>
        <v>1359.8</v>
      </c>
      <c r="O40" s="15">
        <v>138.9</v>
      </c>
      <c r="P40" s="15">
        <v>144.4</v>
      </c>
      <c r="Q40" s="15">
        <v>125.2</v>
      </c>
      <c r="R40" s="15">
        <v>152.19999999999999</v>
      </c>
      <c r="S40" s="15">
        <v>140.4</v>
      </c>
      <c r="T40" s="15">
        <v>147.69999999999999</v>
      </c>
      <c r="V40" s="15">
        <v>2020</v>
      </c>
      <c r="W40" s="15" t="s">
        <v>35</v>
      </c>
      <c r="X40" s="15" t="str">
        <f t="shared" si="0"/>
        <v>February 2020</v>
      </c>
      <c r="Y40" s="9">
        <f t="shared" si="2"/>
        <v>-1.9327852300591343E-2</v>
      </c>
      <c r="Z40" s="9">
        <f t="shared" si="3"/>
        <v>2.812731310140645E-2</v>
      </c>
      <c r="AA40" s="9">
        <f t="shared" si="4"/>
        <v>4.1724617524338961E-3</v>
      </c>
      <c r="AB40" s="9">
        <f t="shared" si="5"/>
        <v>-7.1371927042029465E-3</v>
      </c>
      <c r="AC40" s="9">
        <f t="shared" si="6"/>
        <v>6.5746219592369701E-4</v>
      </c>
      <c r="AD40" s="9">
        <f t="shared" si="7"/>
        <v>2.1413276231264195E-3</v>
      </c>
      <c r="AE40" s="9">
        <f t="shared" si="8"/>
        <v>-3.3738191632928477E-3</v>
      </c>
    </row>
    <row r="41" spans="2:31" x14ac:dyDescent="0.35">
      <c r="B41" s="15" t="s">
        <v>33</v>
      </c>
      <c r="C41" s="15">
        <v>2020</v>
      </c>
      <c r="D41" s="15" t="s">
        <v>36</v>
      </c>
      <c r="E41" s="15">
        <v>146.5</v>
      </c>
      <c r="F41" s="15">
        <v>167.5</v>
      </c>
      <c r="G41" s="15">
        <v>148.9</v>
      </c>
      <c r="H41" s="15">
        <v>151.1</v>
      </c>
      <c r="I41" s="15">
        <v>127.5</v>
      </c>
      <c r="J41" s="15">
        <v>143.30000000000001</v>
      </c>
      <c r="K41" s="15">
        <v>167</v>
      </c>
      <c r="L41" s="15">
        <v>139.69999999999999</v>
      </c>
      <c r="M41" s="5">
        <v>151.5</v>
      </c>
      <c r="N41" s="15">
        <f t="shared" si="1"/>
        <v>1343</v>
      </c>
      <c r="O41" s="15">
        <v>141.4</v>
      </c>
      <c r="P41" s="15">
        <v>145</v>
      </c>
      <c r="Q41" s="15">
        <v>124.6</v>
      </c>
      <c r="R41" s="15">
        <v>152.5</v>
      </c>
      <c r="S41" s="15">
        <v>140.80000000000001</v>
      </c>
      <c r="T41" s="15">
        <v>147.30000000000001</v>
      </c>
      <c r="V41" s="15">
        <v>2020</v>
      </c>
      <c r="W41" s="15" t="s">
        <v>36</v>
      </c>
      <c r="X41" s="15" t="str">
        <f t="shared" si="0"/>
        <v>March 2020</v>
      </c>
      <c r="Y41" s="9">
        <f t="shared" si="2"/>
        <v>-1.235475805265477E-2</v>
      </c>
      <c r="Z41" s="9">
        <f t="shared" si="3"/>
        <v>1.7998560115190784E-2</v>
      </c>
      <c r="AA41" s="9">
        <f t="shared" si="4"/>
        <v>4.1551246537395725E-3</v>
      </c>
      <c r="AB41" s="9">
        <f t="shared" si="5"/>
        <v>-4.7923322683706754E-3</v>
      </c>
      <c r="AC41" s="9">
        <f t="shared" si="6"/>
        <v>1.9710906701709027E-3</v>
      </c>
      <c r="AD41" s="9">
        <f t="shared" si="7"/>
        <v>2.8490028490028895E-3</v>
      </c>
      <c r="AE41" s="9">
        <f t="shared" si="8"/>
        <v>-2.7081922816518437E-3</v>
      </c>
    </row>
    <row r="42" spans="2:31" x14ac:dyDescent="0.35">
      <c r="B42" s="15" t="s">
        <v>33</v>
      </c>
      <c r="C42" s="15">
        <v>2020</v>
      </c>
      <c r="D42" s="15" t="s">
        <v>37</v>
      </c>
      <c r="E42" s="15">
        <v>151.80000000000001</v>
      </c>
      <c r="F42" s="15">
        <v>144.1</v>
      </c>
      <c r="G42" s="15">
        <v>151.9</v>
      </c>
      <c r="H42" s="15">
        <v>155.5</v>
      </c>
      <c r="I42" s="15">
        <v>131.6</v>
      </c>
      <c r="J42" s="15">
        <v>152.9</v>
      </c>
      <c r="K42" s="15">
        <v>180</v>
      </c>
      <c r="L42" s="15">
        <v>150.80000000000001</v>
      </c>
      <c r="M42" s="5">
        <v>154</v>
      </c>
      <c r="N42" s="15">
        <f t="shared" si="1"/>
        <v>1372.6</v>
      </c>
      <c r="O42" s="15">
        <v>137.1</v>
      </c>
      <c r="P42" s="15">
        <v>144.80000000000001</v>
      </c>
      <c r="Q42" s="15">
        <v>116</v>
      </c>
      <c r="R42" s="15">
        <v>136.89999999999998</v>
      </c>
      <c r="S42" s="15">
        <v>129.4</v>
      </c>
      <c r="T42" s="15">
        <v>134.05000000000001</v>
      </c>
      <c r="V42" s="15">
        <v>2020</v>
      </c>
      <c r="W42" s="15" t="s">
        <v>37</v>
      </c>
      <c r="X42" s="15" t="str">
        <f t="shared" si="0"/>
        <v>April 2020</v>
      </c>
      <c r="Y42" s="9">
        <f t="shared" si="2"/>
        <v>2.2040208488458606E-2</v>
      </c>
      <c r="Z42" s="9">
        <f t="shared" si="3"/>
        <v>-3.0410183875530489E-2</v>
      </c>
      <c r="AA42" s="9">
        <f t="shared" si="4"/>
        <v>-1.3793103448275078E-3</v>
      </c>
      <c r="AB42" s="9">
        <f t="shared" si="5"/>
        <v>-6.9020866773675721E-2</v>
      </c>
      <c r="AC42" s="9">
        <f t="shared" si="6"/>
        <v>-0.10229508196721326</v>
      </c>
      <c r="AD42" s="9">
        <f t="shared" si="7"/>
        <v>-8.096590909090913E-2</v>
      </c>
      <c r="AE42" s="9">
        <f t="shared" si="8"/>
        <v>-8.9952477936184647E-2</v>
      </c>
    </row>
    <row r="43" spans="2:31" x14ac:dyDescent="0.35">
      <c r="B43" s="15" t="s">
        <v>33</v>
      </c>
      <c r="C43" s="15">
        <v>2020</v>
      </c>
      <c r="D43" s="15" t="s">
        <v>38</v>
      </c>
      <c r="E43" s="15">
        <v>134.69999999999999</v>
      </c>
      <c r="F43" s="15">
        <v>144.1</v>
      </c>
      <c r="G43" s="15">
        <v>134.5</v>
      </c>
      <c r="H43" s="15">
        <v>139.55892857142859</v>
      </c>
      <c r="I43" s="15">
        <v>116.30000000000001</v>
      </c>
      <c r="J43" s="15">
        <v>137.6</v>
      </c>
      <c r="K43" s="15">
        <v>165.05</v>
      </c>
      <c r="L43" s="15">
        <v>138.14999999999998</v>
      </c>
      <c r="M43" s="5">
        <v>141.1</v>
      </c>
      <c r="N43" s="15">
        <f t="shared" si="1"/>
        <v>1251.0589285714286</v>
      </c>
      <c r="O43" s="15">
        <v>125.6</v>
      </c>
      <c r="P43" s="15">
        <v>129.4</v>
      </c>
      <c r="Q43" s="15">
        <v>116</v>
      </c>
      <c r="R43" s="15">
        <v>136.89999999999998</v>
      </c>
      <c r="S43" s="15">
        <v>129.4</v>
      </c>
      <c r="T43" s="15">
        <v>134.05000000000001</v>
      </c>
      <c r="V43" s="15">
        <v>2020</v>
      </c>
      <c r="W43" s="15" t="s">
        <v>38</v>
      </c>
      <c r="X43" s="15" t="str">
        <f t="shared" si="0"/>
        <v>May 2020</v>
      </c>
      <c r="Y43" s="9">
        <f t="shared" si="2"/>
        <v>-8.8548063112757758E-2</v>
      </c>
      <c r="Z43" s="9">
        <f t="shared" si="3"/>
        <v>-8.3880379285193291E-2</v>
      </c>
      <c r="AA43" s="9">
        <f t="shared" si="4"/>
        <v>-0.10635359116022103</v>
      </c>
      <c r="AB43" s="9">
        <f t="shared" si="5"/>
        <v>0</v>
      </c>
      <c r="AC43" s="9">
        <f t="shared" si="6"/>
        <v>0</v>
      </c>
      <c r="AD43" s="9">
        <f t="shared" si="7"/>
        <v>0</v>
      </c>
      <c r="AE43" s="9">
        <f t="shared" si="8"/>
        <v>0</v>
      </c>
    </row>
    <row r="44" spans="2:31" x14ac:dyDescent="0.35">
      <c r="B44" s="15" t="s">
        <v>33</v>
      </c>
      <c r="C44" s="15">
        <v>2020</v>
      </c>
      <c r="D44" s="15" t="s">
        <v>39</v>
      </c>
      <c r="E44" s="15">
        <v>152.69999999999999</v>
      </c>
      <c r="F44" s="15">
        <v>197</v>
      </c>
      <c r="G44" s="15">
        <v>154.6</v>
      </c>
      <c r="H44" s="15">
        <v>153.4</v>
      </c>
      <c r="I44" s="15">
        <v>132.9</v>
      </c>
      <c r="J44" s="15">
        <v>151.80000000000001</v>
      </c>
      <c r="K44" s="15">
        <v>171.2</v>
      </c>
      <c r="L44" s="15">
        <v>152</v>
      </c>
      <c r="M44" s="5">
        <v>158.80000000000001</v>
      </c>
      <c r="N44" s="15">
        <f t="shared" si="1"/>
        <v>1424.3999999999999</v>
      </c>
      <c r="O44" s="15">
        <v>137.1</v>
      </c>
      <c r="P44" s="15">
        <v>148.1</v>
      </c>
      <c r="Q44" s="15">
        <v>129.30000000000001</v>
      </c>
      <c r="R44" s="15">
        <v>152.5</v>
      </c>
      <c r="S44" s="15">
        <v>140.4</v>
      </c>
      <c r="T44" s="15">
        <v>150.80000000000001</v>
      </c>
      <c r="V44" s="15">
        <v>2020</v>
      </c>
      <c r="W44" s="15" t="s">
        <v>39</v>
      </c>
      <c r="X44" s="15" t="str">
        <f t="shared" si="0"/>
        <v>June 2020</v>
      </c>
      <c r="Y44" s="9">
        <f t="shared" si="2"/>
        <v>0.13855548085693103</v>
      </c>
      <c r="Z44" s="9">
        <f t="shared" si="3"/>
        <v>9.1560509554140135E-2</v>
      </c>
      <c r="AA44" s="9">
        <f t="shared" si="4"/>
        <v>0.14451313755795972</v>
      </c>
      <c r="AB44" s="9">
        <f t="shared" si="5"/>
        <v>0.11465517241379321</v>
      </c>
      <c r="AC44" s="9">
        <f t="shared" si="6"/>
        <v>0.11395178962746549</v>
      </c>
      <c r="AD44" s="9">
        <f t="shared" si="7"/>
        <v>8.5007727975270481E-2</v>
      </c>
      <c r="AE44" s="9">
        <f t="shared" si="8"/>
        <v>0.12495337560611711</v>
      </c>
    </row>
    <row r="45" spans="2:31" x14ac:dyDescent="0.35">
      <c r="B45" s="15" t="s">
        <v>33</v>
      </c>
      <c r="C45" s="15">
        <v>2020</v>
      </c>
      <c r="D45" s="15" t="s">
        <v>40</v>
      </c>
      <c r="E45" s="15">
        <v>152.69999999999999</v>
      </c>
      <c r="F45" s="15">
        <v>197</v>
      </c>
      <c r="G45" s="15">
        <v>154.6</v>
      </c>
      <c r="H45" s="15">
        <v>153.4</v>
      </c>
      <c r="I45" s="15">
        <v>132.9</v>
      </c>
      <c r="J45" s="15">
        <v>151.80000000000001</v>
      </c>
      <c r="K45" s="15">
        <v>171.2</v>
      </c>
      <c r="L45" s="15">
        <v>152</v>
      </c>
      <c r="M45" s="5">
        <v>158.80000000000001</v>
      </c>
      <c r="N45" s="15">
        <f t="shared" si="1"/>
        <v>1424.3999999999999</v>
      </c>
      <c r="O45" s="15">
        <v>137.1</v>
      </c>
      <c r="P45" s="15">
        <v>148.1</v>
      </c>
      <c r="Q45" s="15">
        <v>129.30000000000001</v>
      </c>
      <c r="R45" s="15">
        <v>152.5</v>
      </c>
      <c r="S45" s="15">
        <v>140.4</v>
      </c>
      <c r="T45" s="15">
        <v>150.80000000000001</v>
      </c>
      <c r="V45" s="15">
        <v>2020</v>
      </c>
      <c r="W45" s="15" t="s">
        <v>40</v>
      </c>
      <c r="X45" s="15" t="str">
        <f t="shared" si="0"/>
        <v>July 2020</v>
      </c>
      <c r="Y45" s="9">
        <f t="shared" si="2"/>
        <v>0</v>
      </c>
      <c r="Z45" s="9">
        <f t="shared" si="3"/>
        <v>0</v>
      </c>
      <c r="AA45" s="9">
        <f t="shared" si="4"/>
        <v>0</v>
      </c>
      <c r="AB45" s="9">
        <f t="shared" si="5"/>
        <v>0</v>
      </c>
      <c r="AC45" s="9">
        <f t="shared" si="6"/>
        <v>0</v>
      </c>
      <c r="AD45" s="9">
        <f t="shared" si="7"/>
        <v>0</v>
      </c>
      <c r="AE45" s="9">
        <f t="shared" si="8"/>
        <v>0</v>
      </c>
    </row>
    <row r="46" spans="2:31" x14ac:dyDescent="0.35">
      <c r="B46" s="15" t="s">
        <v>33</v>
      </c>
      <c r="C46" s="15">
        <v>2020</v>
      </c>
      <c r="D46" s="15" t="s">
        <v>41</v>
      </c>
      <c r="E46" s="15">
        <v>151.6</v>
      </c>
      <c r="F46" s="15">
        <v>197.8</v>
      </c>
      <c r="G46" s="15">
        <v>154.5</v>
      </c>
      <c r="H46" s="15">
        <v>153.4</v>
      </c>
      <c r="I46" s="15">
        <v>133.4</v>
      </c>
      <c r="J46" s="15">
        <v>154.5</v>
      </c>
      <c r="K46" s="15">
        <v>191.9</v>
      </c>
      <c r="L46" s="15">
        <v>151.30000000000001</v>
      </c>
      <c r="M46" s="5">
        <v>160</v>
      </c>
      <c r="N46" s="15">
        <f t="shared" si="1"/>
        <v>1448.3999999999999</v>
      </c>
      <c r="O46" s="15">
        <v>138.30000000000001</v>
      </c>
      <c r="P46" s="15">
        <v>148.69999999999999</v>
      </c>
      <c r="Q46" s="15">
        <v>133.9</v>
      </c>
      <c r="R46" s="15">
        <v>155.5</v>
      </c>
      <c r="S46" s="15">
        <v>144.5</v>
      </c>
      <c r="T46" s="15">
        <v>152.9</v>
      </c>
      <c r="V46" s="15">
        <v>2020</v>
      </c>
      <c r="W46" s="15" t="s">
        <v>41</v>
      </c>
      <c r="X46" s="15" t="str">
        <f t="shared" si="0"/>
        <v>August 2020</v>
      </c>
      <c r="Y46" s="9">
        <f t="shared" si="2"/>
        <v>1.6849199663016009E-2</v>
      </c>
      <c r="Z46" s="9">
        <f t="shared" si="3"/>
        <v>8.7527352297594244E-3</v>
      </c>
      <c r="AA46" s="9">
        <f t="shared" si="4"/>
        <v>4.051316677920286E-3</v>
      </c>
      <c r="AB46" s="9">
        <f t="shared" si="5"/>
        <v>3.5576179427687503E-2</v>
      </c>
      <c r="AC46" s="9">
        <f t="shared" si="6"/>
        <v>1.9672131147540985E-2</v>
      </c>
      <c r="AD46" s="9">
        <f t="shared" si="7"/>
        <v>2.920227920227916E-2</v>
      </c>
      <c r="AE46" s="9">
        <f t="shared" si="8"/>
        <v>1.3925729442970783E-2</v>
      </c>
    </row>
    <row r="47" spans="2:31" x14ac:dyDescent="0.35">
      <c r="B47" s="15" t="s">
        <v>33</v>
      </c>
      <c r="C47" s="15">
        <v>2020</v>
      </c>
      <c r="D47" s="15" t="s">
        <v>42</v>
      </c>
      <c r="E47" s="15">
        <v>151.5</v>
      </c>
      <c r="F47" s="15">
        <v>193.1</v>
      </c>
      <c r="G47" s="15">
        <v>157.30000000000001</v>
      </c>
      <c r="H47" s="15">
        <v>153.9</v>
      </c>
      <c r="I47" s="15">
        <v>134.4</v>
      </c>
      <c r="J47" s="15">
        <v>155.4</v>
      </c>
      <c r="K47" s="15">
        <v>202</v>
      </c>
      <c r="L47" s="15">
        <v>150.80000000000001</v>
      </c>
      <c r="M47" s="5">
        <v>160.9</v>
      </c>
      <c r="N47" s="15">
        <f t="shared" si="1"/>
        <v>1459.3</v>
      </c>
      <c r="O47" s="15">
        <v>137.19999999999999</v>
      </c>
      <c r="P47" s="15">
        <v>150</v>
      </c>
      <c r="Q47" s="15">
        <v>135.1</v>
      </c>
      <c r="R47" s="15">
        <v>154.9</v>
      </c>
      <c r="S47" s="15">
        <v>145.4</v>
      </c>
      <c r="T47" s="15">
        <v>154</v>
      </c>
      <c r="V47" s="15">
        <v>2020</v>
      </c>
      <c r="W47" s="15" t="s">
        <v>42</v>
      </c>
      <c r="X47" s="15" t="str">
        <f t="shared" si="0"/>
        <v>September 2020</v>
      </c>
      <c r="Y47" s="9">
        <f t="shared" si="2"/>
        <v>7.5255454294394447E-3</v>
      </c>
      <c r="Z47" s="9">
        <f t="shared" si="3"/>
        <v>-7.9537237888649501E-3</v>
      </c>
      <c r="AA47" s="9">
        <f t="shared" si="4"/>
        <v>8.7424344317418388E-3</v>
      </c>
      <c r="AB47" s="9">
        <f t="shared" si="5"/>
        <v>8.9619118745331485E-3</v>
      </c>
      <c r="AC47" s="9">
        <f t="shared" si="6"/>
        <v>-3.8585209003215068E-3</v>
      </c>
      <c r="AD47" s="9">
        <f t="shared" si="7"/>
        <v>6.2283737024221844E-3</v>
      </c>
      <c r="AE47" s="9">
        <f t="shared" si="8"/>
        <v>7.194244604316509E-3</v>
      </c>
    </row>
    <row r="48" spans="2:31" x14ac:dyDescent="0.35">
      <c r="B48" s="15" t="s">
        <v>33</v>
      </c>
      <c r="C48" s="15">
        <v>2020</v>
      </c>
      <c r="D48" s="15" t="s">
        <v>43</v>
      </c>
      <c r="E48" s="15">
        <v>150.6</v>
      </c>
      <c r="F48" s="15">
        <v>193.7</v>
      </c>
      <c r="G48" s="15">
        <v>164.8</v>
      </c>
      <c r="H48" s="15">
        <v>153.69999999999999</v>
      </c>
      <c r="I48" s="15">
        <v>135.69999999999999</v>
      </c>
      <c r="J48" s="15">
        <v>155.69999999999999</v>
      </c>
      <c r="K48" s="15">
        <v>226</v>
      </c>
      <c r="L48" s="15">
        <v>152.19999999999999</v>
      </c>
      <c r="M48" s="5">
        <v>161.30000000000001</v>
      </c>
      <c r="N48" s="15">
        <f t="shared" si="1"/>
        <v>1493.7</v>
      </c>
      <c r="O48" s="15">
        <v>137.1</v>
      </c>
      <c r="P48" s="15">
        <v>151</v>
      </c>
      <c r="Q48" s="15">
        <v>135.4</v>
      </c>
      <c r="R48" s="15">
        <v>155.69999999999999</v>
      </c>
      <c r="S48" s="15">
        <v>145.1</v>
      </c>
      <c r="T48" s="15">
        <v>155.19999999999999</v>
      </c>
      <c r="V48" s="15">
        <v>2020</v>
      </c>
      <c r="W48" s="15" t="s">
        <v>43</v>
      </c>
      <c r="X48" s="15" t="str">
        <f t="shared" si="0"/>
        <v>October 2020</v>
      </c>
      <c r="Y48" s="9">
        <f t="shared" si="2"/>
        <v>2.3572945932981631E-2</v>
      </c>
      <c r="Z48" s="9">
        <f t="shared" si="3"/>
        <v>-7.2886297376089162E-4</v>
      </c>
      <c r="AA48" s="9">
        <f t="shared" si="4"/>
        <v>6.6666666666666671E-3</v>
      </c>
      <c r="AB48" s="9">
        <f t="shared" si="5"/>
        <v>2.2205773501111129E-3</v>
      </c>
      <c r="AC48" s="9">
        <f t="shared" si="6"/>
        <v>5.164622336991497E-3</v>
      </c>
      <c r="AD48" s="9">
        <f t="shared" si="7"/>
        <v>-2.0632737276479463E-3</v>
      </c>
      <c r="AE48" s="9">
        <f t="shared" si="8"/>
        <v>7.7922077922077185E-3</v>
      </c>
    </row>
    <row r="49" spans="2:31" x14ac:dyDescent="0.35">
      <c r="B49" s="15" t="s">
        <v>33</v>
      </c>
      <c r="C49" s="15">
        <v>2020</v>
      </c>
      <c r="D49" s="15" t="s">
        <v>45</v>
      </c>
      <c r="E49" s="15">
        <v>149.69999999999999</v>
      </c>
      <c r="F49" s="15">
        <v>195.5</v>
      </c>
      <c r="G49" s="15">
        <v>176.9</v>
      </c>
      <c r="H49" s="15">
        <v>153.9</v>
      </c>
      <c r="I49" s="15">
        <v>138</v>
      </c>
      <c r="J49" s="15">
        <v>150.5</v>
      </c>
      <c r="K49" s="15">
        <v>245.3</v>
      </c>
      <c r="L49" s="15">
        <v>158.69999999999999</v>
      </c>
      <c r="M49" s="5">
        <v>161.4</v>
      </c>
      <c r="N49" s="15">
        <f t="shared" si="1"/>
        <v>1529.9</v>
      </c>
      <c r="O49" s="15">
        <v>137.30000000000001</v>
      </c>
      <c r="P49" s="15">
        <v>152</v>
      </c>
      <c r="Q49" s="15">
        <v>135.19999999999999</v>
      </c>
      <c r="R49" s="15">
        <v>156.4</v>
      </c>
      <c r="S49" s="15">
        <v>145.1</v>
      </c>
      <c r="T49" s="15">
        <v>156.69999999999999</v>
      </c>
      <c r="V49" s="15">
        <v>2020</v>
      </c>
      <c r="W49" s="15" t="s">
        <v>45</v>
      </c>
      <c r="X49" s="15" t="str">
        <f t="shared" si="0"/>
        <v>November 2020</v>
      </c>
      <c r="Y49" s="9">
        <f t="shared" si="2"/>
        <v>2.4235120840864995E-2</v>
      </c>
      <c r="Z49" s="9">
        <f t="shared" si="3"/>
        <v>1.4587892049600078E-3</v>
      </c>
      <c r="AA49" s="9">
        <f t="shared" si="4"/>
        <v>6.6225165562913907E-3</v>
      </c>
      <c r="AB49" s="9">
        <f t="shared" si="5"/>
        <v>-1.4771048744462115E-3</v>
      </c>
      <c r="AC49" s="9">
        <f t="shared" si="6"/>
        <v>4.4958253050739697E-3</v>
      </c>
      <c r="AD49" s="9">
        <f t="shared" si="7"/>
        <v>0</v>
      </c>
      <c r="AE49" s="9">
        <f t="shared" si="8"/>
        <v>9.6649484536082478E-3</v>
      </c>
    </row>
    <row r="50" spans="2:31" x14ac:dyDescent="0.35">
      <c r="B50" s="15" t="s">
        <v>33</v>
      </c>
      <c r="C50" s="15">
        <v>2020</v>
      </c>
      <c r="D50" s="15" t="s">
        <v>46</v>
      </c>
      <c r="E50" s="15">
        <v>149</v>
      </c>
      <c r="F50" s="15">
        <v>195.7</v>
      </c>
      <c r="G50" s="15">
        <v>178.3</v>
      </c>
      <c r="H50" s="15">
        <v>154.19999999999999</v>
      </c>
      <c r="I50" s="15">
        <v>140.69999999999999</v>
      </c>
      <c r="J50" s="15">
        <v>149.69999999999999</v>
      </c>
      <c r="K50" s="15">
        <v>240.9</v>
      </c>
      <c r="L50" s="15">
        <v>161.5</v>
      </c>
      <c r="M50" s="5">
        <v>161.9</v>
      </c>
      <c r="N50" s="15">
        <f t="shared" si="1"/>
        <v>1531.9000000000003</v>
      </c>
      <c r="O50" s="15">
        <v>137.9</v>
      </c>
      <c r="P50" s="15">
        <v>152.9</v>
      </c>
      <c r="Q50" s="15">
        <v>135.5</v>
      </c>
      <c r="R50" s="15">
        <v>156.9</v>
      </c>
      <c r="S50" s="15">
        <v>145.5</v>
      </c>
      <c r="T50" s="15">
        <v>156.9</v>
      </c>
      <c r="V50" s="15">
        <v>2020</v>
      </c>
      <c r="W50" s="15" t="s">
        <v>46</v>
      </c>
      <c r="X50" s="15" t="str">
        <f t="shared" si="0"/>
        <v>December 2020</v>
      </c>
      <c r="Y50" s="9">
        <f t="shared" si="2"/>
        <v>1.307274985293305E-3</v>
      </c>
      <c r="Z50" s="9">
        <f t="shared" si="3"/>
        <v>4.3699927166787637E-3</v>
      </c>
      <c r="AA50" s="9">
        <f t="shared" si="4"/>
        <v>5.9210526315789849E-3</v>
      </c>
      <c r="AB50" s="9">
        <f t="shared" si="5"/>
        <v>2.2189349112426877E-3</v>
      </c>
      <c r="AC50" s="9">
        <f t="shared" si="6"/>
        <v>3.19693094629156E-3</v>
      </c>
      <c r="AD50" s="9">
        <f t="shared" si="7"/>
        <v>2.7567195037905287E-3</v>
      </c>
      <c r="AE50" s="9">
        <f t="shared" si="8"/>
        <v>1.2763241863434401E-3</v>
      </c>
    </row>
    <row r="51" spans="2:31" x14ac:dyDescent="0.35">
      <c r="B51" s="15" t="s">
        <v>33</v>
      </c>
      <c r="C51" s="15">
        <v>2021</v>
      </c>
      <c r="D51" s="15" t="s">
        <v>31</v>
      </c>
      <c r="E51" s="15">
        <v>148</v>
      </c>
      <c r="F51" s="15">
        <v>194.8</v>
      </c>
      <c r="G51" s="15">
        <v>178.4</v>
      </c>
      <c r="H51" s="15">
        <v>154.4</v>
      </c>
      <c r="I51" s="15">
        <v>144.1</v>
      </c>
      <c r="J51" s="15">
        <v>152.6</v>
      </c>
      <c r="K51" s="15">
        <v>206.8</v>
      </c>
      <c r="L51" s="15">
        <v>162.1</v>
      </c>
      <c r="M51" s="5">
        <v>163</v>
      </c>
      <c r="N51" s="15">
        <f t="shared" si="1"/>
        <v>1504.2</v>
      </c>
      <c r="O51" s="15">
        <v>142.9</v>
      </c>
      <c r="P51" s="15">
        <v>154.1</v>
      </c>
      <c r="Q51" s="15">
        <v>136.9</v>
      </c>
      <c r="R51" s="15">
        <v>156.1</v>
      </c>
      <c r="S51" s="15">
        <v>145.69999999999999</v>
      </c>
      <c r="T51" s="15">
        <v>156</v>
      </c>
      <c r="V51" s="15">
        <v>2021</v>
      </c>
      <c r="W51" s="15" t="s">
        <v>31</v>
      </c>
      <c r="X51" s="15" t="str">
        <f t="shared" si="0"/>
        <v>January 2021</v>
      </c>
      <c r="Y51" s="9">
        <f t="shared" si="2"/>
        <v>-1.808212024283587E-2</v>
      </c>
      <c r="Z51" s="9">
        <f t="shared" si="3"/>
        <v>3.6258158085569252E-2</v>
      </c>
      <c r="AA51" s="9">
        <f t="shared" si="4"/>
        <v>7.848266841072522E-3</v>
      </c>
      <c r="AB51" s="9">
        <f t="shared" si="5"/>
        <v>1.0332103321033253E-2</v>
      </c>
      <c r="AC51" s="9">
        <f t="shared" si="6"/>
        <v>-5.0987890376036418E-3</v>
      </c>
      <c r="AD51" s="9">
        <f t="shared" si="7"/>
        <v>1.374570446735317E-3</v>
      </c>
      <c r="AE51" s="9">
        <f t="shared" si="8"/>
        <v>-5.7361376673040511E-3</v>
      </c>
    </row>
    <row r="52" spans="2:31" x14ac:dyDescent="0.35">
      <c r="B52" s="15" t="s">
        <v>33</v>
      </c>
      <c r="C52" s="15">
        <v>2021</v>
      </c>
      <c r="D52" s="15" t="s">
        <v>35</v>
      </c>
      <c r="E52" s="15">
        <v>147.6</v>
      </c>
      <c r="F52" s="15">
        <v>191.2</v>
      </c>
      <c r="G52" s="15">
        <v>169.9</v>
      </c>
      <c r="H52" s="15">
        <v>155.1</v>
      </c>
      <c r="I52" s="15">
        <v>151.4</v>
      </c>
      <c r="J52" s="15">
        <v>154</v>
      </c>
      <c r="K52" s="15">
        <v>180.2</v>
      </c>
      <c r="L52" s="15">
        <v>159.80000000000001</v>
      </c>
      <c r="M52" s="5">
        <v>162.5</v>
      </c>
      <c r="N52" s="15">
        <f t="shared" si="1"/>
        <v>1471.6999999999998</v>
      </c>
      <c r="O52" s="15">
        <v>149.1</v>
      </c>
      <c r="P52" s="15">
        <v>156.30000000000001</v>
      </c>
      <c r="Q52" s="15">
        <v>140.5</v>
      </c>
      <c r="R52" s="15">
        <v>156.6</v>
      </c>
      <c r="S52" s="15">
        <v>146.5</v>
      </c>
      <c r="T52" s="15">
        <v>156.5</v>
      </c>
      <c r="V52" s="15">
        <v>2021</v>
      </c>
      <c r="W52" s="15" t="s">
        <v>35</v>
      </c>
      <c r="X52" s="15" t="str">
        <f t="shared" si="0"/>
        <v>February 2021</v>
      </c>
      <c r="Y52" s="9">
        <f t="shared" si="2"/>
        <v>-2.1606169392368188E-2</v>
      </c>
      <c r="Z52" s="9">
        <f t="shared" si="3"/>
        <v>4.3386983904828473E-2</v>
      </c>
      <c r="AA52" s="9">
        <f t="shared" si="4"/>
        <v>1.4276443867618541E-2</v>
      </c>
      <c r="AB52" s="9">
        <f t="shared" si="5"/>
        <v>2.6296566837107335E-2</v>
      </c>
      <c r="AC52" s="9">
        <f t="shared" si="6"/>
        <v>3.2030749519538757E-3</v>
      </c>
      <c r="AD52" s="9">
        <f t="shared" si="7"/>
        <v>5.4907343857241693E-3</v>
      </c>
      <c r="AE52" s="9">
        <f t="shared" si="8"/>
        <v>3.205128205128205E-3</v>
      </c>
    </row>
    <row r="53" spans="2:31" x14ac:dyDescent="0.35">
      <c r="B53" s="15" t="s">
        <v>33</v>
      </c>
      <c r="C53" s="15">
        <v>2021</v>
      </c>
      <c r="D53" s="15" t="s">
        <v>36</v>
      </c>
      <c r="E53" s="15">
        <v>147.5</v>
      </c>
      <c r="F53" s="15">
        <v>197.5</v>
      </c>
      <c r="G53" s="15">
        <v>164.7</v>
      </c>
      <c r="H53" s="15">
        <v>155.6</v>
      </c>
      <c r="I53" s="15">
        <v>156.4</v>
      </c>
      <c r="J53" s="15">
        <v>157.30000000000001</v>
      </c>
      <c r="K53" s="15">
        <v>166.1</v>
      </c>
      <c r="L53" s="15">
        <v>161.1</v>
      </c>
      <c r="M53" s="5">
        <v>162.6</v>
      </c>
      <c r="N53" s="15">
        <f t="shared" si="1"/>
        <v>1468.7999999999997</v>
      </c>
      <c r="O53" s="15">
        <v>154.80000000000001</v>
      </c>
      <c r="P53" s="15">
        <v>156.9</v>
      </c>
      <c r="Q53" s="15">
        <v>141.69999999999999</v>
      </c>
      <c r="R53" s="15">
        <v>157.6</v>
      </c>
      <c r="S53" s="15">
        <v>147.19999999999999</v>
      </c>
      <c r="T53" s="15">
        <v>156.9</v>
      </c>
      <c r="V53" s="15">
        <v>2021</v>
      </c>
      <c r="W53" s="15" t="s">
        <v>36</v>
      </c>
      <c r="X53" s="15" t="str">
        <f t="shared" si="0"/>
        <v>March 2021</v>
      </c>
      <c r="Y53" s="9">
        <f t="shared" si="2"/>
        <v>-1.9705102942176337E-3</v>
      </c>
      <c r="Z53" s="9">
        <f t="shared" si="3"/>
        <v>3.822937625754539E-2</v>
      </c>
      <c r="AA53" s="9">
        <f t="shared" si="4"/>
        <v>3.8387715930901746E-3</v>
      </c>
      <c r="AB53" s="9">
        <f t="shared" si="5"/>
        <v>8.5409252669038337E-3</v>
      </c>
      <c r="AC53" s="9">
        <f t="shared" si="6"/>
        <v>6.3856960408684551E-3</v>
      </c>
      <c r="AD53" s="9">
        <f t="shared" si="7"/>
        <v>4.7781569965869531E-3</v>
      </c>
      <c r="AE53" s="9">
        <f t="shared" si="8"/>
        <v>2.5559105431310269E-3</v>
      </c>
    </row>
    <row r="54" spans="2:31" x14ac:dyDescent="0.35">
      <c r="B54" s="15" t="s">
        <v>33</v>
      </c>
      <c r="C54" s="15">
        <v>2021</v>
      </c>
      <c r="D54" s="15" t="s">
        <v>37</v>
      </c>
      <c r="E54" s="15">
        <v>147.6</v>
      </c>
      <c r="F54" s="15">
        <v>202.5</v>
      </c>
      <c r="G54" s="15">
        <v>166.4</v>
      </c>
      <c r="H54" s="15">
        <v>156</v>
      </c>
      <c r="I54" s="15">
        <v>161.4</v>
      </c>
      <c r="J54" s="15">
        <v>168.8</v>
      </c>
      <c r="K54" s="15">
        <v>161.6</v>
      </c>
      <c r="L54" s="15">
        <v>162.80000000000001</v>
      </c>
      <c r="M54" s="5">
        <v>162.80000000000001</v>
      </c>
      <c r="N54" s="15">
        <f t="shared" si="1"/>
        <v>1489.8999999999999</v>
      </c>
      <c r="O54" s="15">
        <v>154.9</v>
      </c>
      <c r="P54" s="15">
        <v>157.5</v>
      </c>
      <c r="Q54" s="15">
        <v>142.1</v>
      </c>
      <c r="R54" s="15">
        <v>157.6</v>
      </c>
      <c r="S54" s="15">
        <v>147.6</v>
      </c>
      <c r="T54" s="15">
        <v>158</v>
      </c>
      <c r="V54" s="15">
        <v>2021</v>
      </c>
      <c r="W54" s="15" t="s">
        <v>37</v>
      </c>
      <c r="X54" s="15" t="str">
        <f t="shared" si="0"/>
        <v>April 2021</v>
      </c>
      <c r="Y54" s="9">
        <f t="shared" si="2"/>
        <v>1.4365468409586152E-2</v>
      </c>
      <c r="Z54" s="9">
        <f t="shared" si="3"/>
        <v>6.4599483204130694E-4</v>
      </c>
      <c r="AA54" s="9">
        <f t="shared" si="4"/>
        <v>3.8240917782026403E-3</v>
      </c>
      <c r="AB54" s="9">
        <f t="shared" si="5"/>
        <v>2.8228652081863496E-3</v>
      </c>
      <c r="AC54" s="9">
        <f t="shared" si="6"/>
        <v>0</v>
      </c>
      <c r="AD54" s="9">
        <f t="shared" si="7"/>
        <v>2.717391304347865E-3</v>
      </c>
      <c r="AE54" s="9">
        <f t="shared" si="8"/>
        <v>7.0108349267048713E-3</v>
      </c>
    </row>
    <row r="55" spans="2:31" x14ac:dyDescent="0.35">
      <c r="B55" s="15" t="s">
        <v>33</v>
      </c>
      <c r="C55" s="15">
        <v>2021</v>
      </c>
      <c r="D55" s="15" t="s">
        <v>38</v>
      </c>
      <c r="E55" s="15">
        <v>148.80000000000001</v>
      </c>
      <c r="F55" s="15">
        <v>204.3</v>
      </c>
      <c r="G55" s="15">
        <v>173</v>
      </c>
      <c r="H55" s="15">
        <v>156.5</v>
      </c>
      <c r="I55" s="15">
        <v>168.8</v>
      </c>
      <c r="J55" s="15">
        <v>172.5</v>
      </c>
      <c r="K55" s="15">
        <v>166.5</v>
      </c>
      <c r="L55" s="15">
        <v>165.9</v>
      </c>
      <c r="M55" s="5">
        <v>165.2</v>
      </c>
      <c r="N55" s="15">
        <f t="shared" si="1"/>
        <v>1521.5000000000002</v>
      </c>
      <c r="O55" s="15">
        <v>155.5</v>
      </c>
      <c r="P55" s="15">
        <v>160.4</v>
      </c>
      <c r="Q55" s="15">
        <v>145</v>
      </c>
      <c r="R55" s="15">
        <v>156.6</v>
      </c>
      <c r="S55" s="15">
        <v>150.1</v>
      </c>
      <c r="T55" s="15">
        <v>159.5</v>
      </c>
      <c r="V55" s="15">
        <v>2021</v>
      </c>
      <c r="W55" s="15" t="s">
        <v>38</v>
      </c>
      <c r="X55" s="15" t="str">
        <f t="shared" si="0"/>
        <v>May 2021</v>
      </c>
      <c r="Y55" s="9">
        <f t="shared" si="2"/>
        <v>2.1209477146117435E-2</v>
      </c>
      <c r="Z55" s="9">
        <f t="shared" si="3"/>
        <v>3.8734667527436689E-3</v>
      </c>
      <c r="AA55" s="9">
        <f t="shared" si="4"/>
        <v>1.841269841269845E-2</v>
      </c>
      <c r="AB55" s="9">
        <f t="shared" si="5"/>
        <v>2.0408163265306162E-2</v>
      </c>
      <c r="AC55" s="9">
        <f t="shared" si="6"/>
        <v>-6.3451776649746192E-3</v>
      </c>
      <c r="AD55" s="9">
        <f t="shared" si="7"/>
        <v>1.6937669376693769E-2</v>
      </c>
      <c r="AE55" s="9">
        <f t="shared" si="8"/>
        <v>9.4936708860759497E-3</v>
      </c>
    </row>
    <row r="56" spans="2:31" x14ac:dyDescent="0.35">
      <c r="B56" s="15" t="s">
        <v>33</v>
      </c>
      <c r="C56" s="15">
        <v>2021</v>
      </c>
      <c r="D56" s="15" t="s">
        <v>39</v>
      </c>
      <c r="E56" s="15">
        <v>149.19999999999999</v>
      </c>
      <c r="F56" s="15">
        <v>205.5</v>
      </c>
      <c r="G56" s="15">
        <v>182.8</v>
      </c>
      <c r="H56" s="15">
        <v>156.5</v>
      </c>
      <c r="I56" s="15">
        <v>172.2</v>
      </c>
      <c r="J56" s="15">
        <v>171.5</v>
      </c>
      <c r="K56" s="15">
        <v>176.2</v>
      </c>
      <c r="L56" s="15">
        <v>166.9</v>
      </c>
      <c r="M56" s="5">
        <v>165.5</v>
      </c>
      <c r="N56" s="15">
        <f t="shared" si="1"/>
        <v>1546.3000000000002</v>
      </c>
      <c r="O56" s="15">
        <v>156.1</v>
      </c>
      <c r="P56" s="15">
        <v>160.80000000000001</v>
      </c>
      <c r="Q56" s="15">
        <v>147.5</v>
      </c>
      <c r="R56" s="15">
        <v>158.1</v>
      </c>
      <c r="S56" s="15">
        <v>149.80000000000001</v>
      </c>
      <c r="T56" s="15">
        <v>160.4</v>
      </c>
      <c r="V56" s="15">
        <v>2021</v>
      </c>
      <c r="W56" s="15" t="s">
        <v>39</v>
      </c>
      <c r="X56" s="15" t="str">
        <f t="shared" si="0"/>
        <v>June 2021</v>
      </c>
      <c r="Y56" s="9">
        <f t="shared" si="2"/>
        <v>1.6299704239237562E-2</v>
      </c>
      <c r="Z56" s="9">
        <f t="shared" si="3"/>
        <v>3.8585209003215068E-3</v>
      </c>
      <c r="AA56" s="9">
        <f t="shared" si="4"/>
        <v>2.4937655860349482E-3</v>
      </c>
      <c r="AB56" s="9">
        <f t="shared" si="5"/>
        <v>1.7241379310344827E-2</v>
      </c>
      <c r="AC56" s="9">
        <f t="shared" si="6"/>
        <v>9.578544061302683E-3</v>
      </c>
      <c r="AD56" s="9">
        <f t="shared" si="7"/>
        <v>-1.9986675549632442E-3</v>
      </c>
      <c r="AE56" s="9">
        <f t="shared" si="8"/>
        <v>5.6426332288401614E-3</v>
      </c>
    </row>
    <row r="57" spans="2:31" x14ac:dyDescent="0.35">
      <c r="B57" s="15" t="s">
        <v>33</v>
      </c>
      <c r="C57" s="15">
        <v>2021</v>
      </c>
      <c r="D57" s="15" t="s">
        <v>40</v>
      </c>
      <c r="E57" s="15">
        <v>149.1</v>
      </c>
      <c r="F57" s="15">
        <v>210.9</v>
      </c>
      <c r="G57" s="15">
        <v>185</v>
      </c>
      <c r="H57" s="15">
        <v>158.19999999999999</v>
      </c>
      <c r="I57" s="15">
        <v>170.6</v>
      </c>
      <c r="J57" s="15">
        <v>170.9</v>
      </c>
      <c r="K57" s="15">
        <v>186.4</v>
      </c>
      <c r="L57" s="15">
        <v>164.7</v>
      </c>
      <c r="M57" s="5">
        <v>165.5</v>
      </c>
      <c r="N57" s="15">
        <f t="shared" si="1"/>
        <v>1561.3000000000002</v>
      </c>
      <c r="O57" s="15">
        <v>157.69999999999999</v>
      </c>
      <c r="P57" s="15">
        <v>161.5</v>
      </c>
      <c r="Q57" s="15">
        <v>149.5</v>
      </c>
      <c r="R57" s="15">
        <v>160.30000000000001</v>
      </c>
      <c r="S57" s="15">
        <v>150.69999999999999</v>
      </c>
      <c r="T57" s="15">
        <v>161.80000000000001</v>
      </c>
      <c r="V57" s="15">
        <v>2021</v>
      </c>
      <c r="W57" s="15" t="s">
        <v>40</v>
      </c>
      <c r="X57" s="15" t="str">
        <f t="shared" si="0"/>
        <v>July 2021</v>
      </c>
      <c r="Y57" s="9">
        <f t="shared" si="2"/>
        <v>9.7005755674836689E-3</v>
      </c>
      <c r="Z57" s="9">
        <f t="shared" si="3"/>
        <v>1.0249839846252367E-2</v>
      </c>
      <c r="AA57" s="9">
        <f t="shared" si="4"/>
        <v>4.3532338308457002E-3</v>
      </c>
      <c r="AB57" s="9">
        <f t="shared" si="5"/>
        <v>1.3559322033898305E-2</v>
      </c>
      <c r="AC57" s="9">
        <f t="shared" si="6"/>
        <v>1.3915243516761652E-2</v>
      </c>
      <c r="AD57" s="9">
        <f t="shared" si="7"/>
        <v>6.0080106809077246E-3</v>
      </c>
      <c r="AE57" s="9">
        <f t="shared" si="8"/>
        <v>8.7281795511222303E-3</v>
      </c>
    </row>
    <row r="58" spans="2:31" x14ac:dyDescent="0.35">
      <c r="B58" s="15" t="s">
        <v>33</v>
      </c>
      <c r="C58" s="15">
        <v>2021</v>
      </c>
      <c r="D58" s="15" t="s">
        <v>41</v>
      </c>
      <c r="E58" s="15">
        <v>149.30000000000001</v>
      </c>
      <c r="F58" s="15">
        <v>207.4</v>
      </c>
      <c r="G58" s="15">
        <v>174.1</v>
      </c>
      <c r="H58" s="15">
        <v>159.19999999999999</v>
      </c>
      <c r="I58" s="15">
        <v>175</v>
      </c>
      <c r="J58" s="15">
        <v>161.30000000000001</v>
      </c>
      <c r="K58" s="15">
        <v>183.3</v>
      </c>
      <c r="L58" s="15">
        <v>164.5</v>
      </c>
      <c r="M58" s="5">
        <v>166.2</v>
      </c>
      <c r="N58" s="15">
        <f t="shared" si="1"/>
        <v>1540.3</v>
      </c>
      <c r="O58" s="15">
        <v>160.69999999999999</v>
      </c>
      <c r="P58" s="15">
        <v>162.80000000000001</v>
      </c>
      <c r="Q58" s="15">
        <v>150.4</v>
      </c>
      <c r="R58" s="15">
        <v>160.4</v>
      </c>
      <c r="S58" s="15">
        <v>153.19999999999999</v>
      </c>
      <c r="T58" s="15">
        <v>162.30000000000001</v>
      </c>
      <c r="V58" s="15">
        <v>2021</v>
      </c>
      <c r="W58" s="15" t="s">
        <v>41</v>
      </c>
      <c r="X58" s="15" t="str">
        <f t="shared" si="0"/>
        <v>August 2021</v>
      </c>
      <c r="Y58" s="9">
        <f t="shared" si="2"/>
        <v>-1.3450329853327499E-2</v>
      </c>
      <c r="Z58" s="9">
        <f t="shared" si="3"/>
        <v>1.9023462270133167E-2</v>
      </c>
      <c r="AA58" s="9">
        <f t="shared" si="4"/>
        <v>8.049535603715241E-3</v>
      </c>
      <c r="AB58" s="9">
        <f t="shared" si="5"/>
        <v>6.020066889632145E-3</v>
      </c>
      <c r="AC58" s="9">
        <f t="shared" si="6"/>
        <v>6.238303181534268E-4</v>
      </c>
      <c r="AD58" s="9">
        <f t="shared" si="7"/>
        <v>1.6589250165892504E-2</v>
      </c>
      <c r="AE58" s="9">
        <f t="shared" si="8"/>
        <v>3.0902348578491965E-3</v>
      </c>
    </row>
    <row r="59" spans="2:31" x14ac:dyDescent="0.35">
      <c r="B59" s="15" t="s">
        <v>33</v>
      </c>
      <c r="C59" s="15">
        <v>2021</v>
      </c>
      <c r="D59" s="15" t="s">
        <v>42</v>
      </c>
      <c r="E59" s="15">
        <v>149.30000000000001</v>
      </c>
      <c r="F59" s="15">
        <v>207.4</v>
      </c>
      <c r="G59" s="15">
        <v>174.1</v>
      </c>
      <c r="H59" s="15">
        <v>159.1</v>
      </c>
      <c r="I59" s="15">
        <v>175</v>
      </c>
      <c r="J59" s="15">
        <v>161.19999999999999</v>
      </c>
      <c r="K59" s="15">
        <v>183.5</v>
      </c>
      <c r="L59" s="15">
        <v>164.5</v>
      </c>
      <c r="M59" s="5">
        <v>166.2</v>
      </c>
      <c r="N59" s="15">
        <f t="shared" si="1"/>
        <v>1540.3000000000002</v>
      </c>
      <c r="O59" s="15">
        <v>160.80000000000001</v>
      </c>
      <c r="P59" s="15">
        <v>162.80000000000001</v>
      </c>
      <c r="Q59" s="15">
        <v>150.5</v>
      </c>
      <c r="R59" s="15">
        <v>160.30000000000001</v>
      </c>
      <c r="S59" s="15">
        <v>153.30000000000001</v>
      </c>
      <c r="T59" s="15">
        <v>162.30000000000001</v>
      </c>
      <c r="V59" s="15">
        <v>2021</v>
      </c>
      <c r="W59" s="15" t="s">
        <v>42</v>
      </c>
      <c r="X59" s="15" t="str">
        <f t="shared" si="0"/>
        <v>September 2021</v>
      </c>
      <c r="Y59" s="9">
        <f t="shared" si="2"/>
        <v>1.4761648733573464E-16</v>
      </c>
      <c r="Z59" s="9">
        <f t="shared" si="3"/>
        <v>6.2227753578109979E-4</v>
      </c>
      <c r="AA59" s="9">
        <f t="shared" si="4"/>
        <v>0</v>
      </c>
      <c r="AB59" s="9">
        <f t="shared" si="5"/>
        <v>6.6489361702123874E-4</v>
      </c>
      <c r="AC59" s="9">
        <f t="shared" si="6"/>
        <v>-6.2344139650869271E-4</v>
      </c>
      <c r="AD59" s="9">
        <f t="shared" si="7"/>
        <v>6.5274151436046175E-4</v>
      </c>
      <c r="AE59" s="9">
        <f t="shared" si="8"/>
        <v>0</v>
      </c>
    </row>
    <row r="60" spans="2:31" x14ac:dyDescent="0.35">
      <c r="B60" s="15" t="s">
        <v>33</v>
      </c>
      <c r="C60" s="15">
        <v>2021</v>
      </c>
      <c r="D60" s="15" t="s">
        <v>43</v>
      </c>
      <c r="E60" s="15">
        <v>150.1</v>
      </c>
      <c r="F60" s="15">
        <v>208.4</v>
      </c>
      <c r="G60" s="15">
        <v>173</v>
      </c>
      <c r="H60" s="15">
        <v>159.19999999999999</v>
      </c>
      <c r="I60" s="15">
        <v>176.6</v>
      </c>
      <c r="J60" s="15">
        <v>159.30000000000001</v>
      </c>
      <c r="K60" s="15">
        <v>214.4</v>
      </c>
      <c r="L60" s="15">
        <v>165.3</v>
      </c>
      <c r="M60" s="5">
        <v>166.8</v>
      </c>
      <c r="N60" s="15">
        <f t="shared" si="1"/>
        <v>1573.1000000000001</v>
      </c>
      <c r="O60" s="15">
        <v>162.19999999999999</v>
      </c>
      <c r="P60" s="15">
        <v>163.5</v>
      </c>
      <c r="Q60" s="15">
        <v>152.19999999999999</v>
      </c>
      <c r="R60" s="15">
        <v>160.30000000000001</v>
      </c>
      <c r="S60" s="15">
        <v>154.30000000000001</v>
      </c>
      <c r="T60" s="15">
        <v>164.6</v>
      </c>
      <c r="V60" s="15">
        <v>2021</v>
      </c>
      <c r="W60" s="15" t="s">
        <v>43</v>
      </c>
      <c r="X60" s="15" t="str">
        <f t="shared" si="0"/>
        <v>October 2021</v>
      </c>
      <c r="Y60" s="9">
        <f t="shared" si="2"/>
        <v>2.1294553009154029E-2</v>
      </c>
      <c r="Z60" s="9">
        <f t="shared" si="3"/>
        <v>8.7064676616914003E-3</v>
      </c>
      <c r="AA60" s="9">
        <f t="shared" si="4"/>
        <v>4.2997542997542295E-3</v>
      </c>
      <c r="AB60" s="9">
        <f t="shared" si="5"/>
        <v>1.1295681063122847E-2</v>
      </c>
      <c r="AC60" s="9">
        <f t="shared" si="6"/>
        <v>0</v>
      </c>
      <c r="AD60" s="9">
        <f t="shared" si="7"/>
        <v>6.5231572080887146E-3</v>
      </c>
      <c r="AE60" s="9">
        <f t="shared" si="8"/>
        <v>1.4171287738755286E-2</v>
      </c>
    </row>
    <row r="61" spans="2:31" x14ac:dyDescent="0.35">
      <c r="B61" s="15" t="s">
        <v>33</v>
      </c>
      <c r="C61" s="15">
        <v>2021</v>
      </c>
      <c r="D61" s="15" t="s">
        <v>45</v>
      </c>
      <c r="E61" s="15">
        <v>151</v>
      </c>
      <c r="F61" s="15">
        <v>204.9</v>
      </c>
      <c r="G61" s="15">
        <v>175.4</v>
      </c>
      <c r="H61" s="15">
        <v>159.6</v>
      </c>
      <c r="I61" s="15">
        <v>175.8</v>
      </c>
      <c r="J61" s="15">
        <v>160.30000000000001</v>
      </c>
      <c r="K61" s="15">
        <v>229.1</v>
      </c>
      <c r="L61" s="15">
        <v>165.1</v>
      </c>
      <c r="M61" s="5">
        <v>167.2</v>
      </c>
      <c r="N61" s="15">
        <f t="shared" si="1"/>
        <v>1588.3999999999999</v>
      </c>
      <c r="O61" s="15">
        <v>161.6</v>
      </c>
      <c r="P61" s="15">
        <v>164.2</v>
      </c>
      <c r="Q61" s="15">
        <v>151.19999999999999</v>
      </c>
      <c r="R61" s="15">
        <v>160.80000000000001</v>
      </c>
      <c r="S61" s="15">
        <v>155.19999999999999</v>
      </c>
      <c r="T61" s="15">
        <v>165.6</v>
      </c>
      <c r="V61" s="15">
        <v>2021</v>
      </c>
      <c r="W61" s="15" t="s">
        <v>45</v>
      </c>
      <c r="X61" s="15" t="str">
        <f t="shared" si="0"/>
        <v>November 2021</v>
      </c>
      <c r="Y61" s="9">
        <f t="shared" si="2"/>
        <v>9.7260186892122093E-3</v>
      </c>
      <c r="Z61" s="9">
        <f t="shared" si="3"/>
        <v>-3.6991368680640837E-3</v>
      </c>
      <c r="AA61" s="9">
        <f t="shared" si="4"/>
        <v>4.281345565749166E-3</v>
      </c>
      <c r="AB61" s="9">
        <f t="shared" si="5"/>
        <v>-6.5703022339027601E-3</v>
      </c>
      <c r="AC61" s="9">
        <f t="shared" si="6"/>
        <v>3.1191515907673111E-3</v>
      </c>
      <c r="AD61" s="9">
        <f t="shared" si="7"/>
        <v>5.8327932598831967E-3</v>
      </c>
      <c r="AE61" s="9">
        <f t="shared" si="8"/>
        <v>6.0753341433778859E-3</v>
      </c>
    </row>
    <row r="62" spans="2:31" x14ac:dyDescent="0.35">
      <c r="B62" s="15" t="s">
        <v>33</v>
      </c>
      <c r="C62" s="15">
        <v>2021</v>
      </c>
      <c r="D62" s="15" t="s">
        <v>46</v>
      </c>
      <c r="E62" s="15">
        <v>151.6</v>
      </c>
      <c r="F62" s="15">
        <v>202.2</v>
      </c>
      <c r="G62" s="15">
        <v>180</v>
      </c>
      <c r="H62" s="15">
        <v>160</v>
      </c>
      <c r="I62" s="15">
        <v>173.5</v>
      </c>
      <c r="J62" s="15">
        <v>158.30000000000001</v>
      </c>
      <c r="K62" s="15">
        <v>219.5</v>
      </c>
      <c r="L62" s="15">
        <v>164.2</v>
      </c>
      <c r="M62" s="5">
        <v>168.2</v>
      </c>
      <c r="N62" s="15">
        <f t="shared" si="1"/>
        <v>1577.5</v>
      </c>
      <c r="O62" s="15">
        <v>161.69999999999999</v>
      </c>
      <c r="P62" s="15">
        <v>165.1</v>
      </c>
      <c r="Q62" s="15">
        <v>151.80000000000001</v>
      </c>
      <c r="R62" s="15">
        <v>160.6</v>
      </c>
      <c r="S62" s="15">
        <v>156</v>
      </c>
      <c r="T62" s="15">
        <v>165.2</v>
      </c>
      <c r="V62" s="15">
        <v>2021</v>
      </c>
      <c r="W62" s="15" t="s">
        <v>46</v>
      </c>
      <c r="X62" s="15" t="str">
        <f t="shared" si="0"/>
        <v>December 2021</v>
      </c>
      <c r="Y62" s="9">
        <f t="shared" si="2"/>
        <v>-6.862251322085032E-3</v>
      </c>
      <c r="Z62" s="9">
        <f t="shared" si="3"/>
        <v>6.1881188118808369E-4</v>
      </c>
      <c r="AA62" s="9">
        <f t="shared" si="4"/>
        <v>5.4811205846528972E-3</v>
      </c>
      <c r="AB62" s="9">
        <f t="shared" si="5"/>
        <v>3.968253968254119E-3</v>
      </c>
      <c r="AC62" s="9">
        <f t="shared" si="6"/>
        <v>-1.2437810945274692E-3</v>
      </c>
      <c r="AD62" s="9">
        <f t="shared" si="7"/>
        <v>5.1546391752578056E-3</v>
      </c>
      <c r="AE62" s="9">
        <f t="shared" si="8"/>
        <v>-2.4154589371981022E-3</v>
      </c>
    </row>
    <row r="63" spans="2:31" x14ac:dyDescent="0.35">
      <c r="B63" s="15" t="s">
        <v>33</v>
      </c>
      <c r="C63" s="15">
        <v>2022</v>
      </c>
      <c r="D63" s="15" t="s">
        <v>31</v>
      </c>
      <c r="E63" s="15">
        <v>152.19999999999999</v>
      </c>
      <c r="F63" s="15">
        <v>202.1</v>
      </c>
      <c r="G63" s="15">
        <v>180.1</v>
      </c>
      <c r="H63" s="15">
        <v>160.4</v>
      </c>
      <c r="I63" s="15">
        <v>171</v>
      </c>
      <c r="J63" s="15">
        <v>156.5</v>
      </c>
      <c r="K63" s="15">
        <v>203.6</v>
      </c>
      <c r="L63" s="15">
        <v>163.80000000000001</v>
      </c>
      <c r="M63" s="5">
        <v>169.8</v>
      </c>
      <c r="N63" s="15">
        <f t="shared" si="1"/>
        <v>1559.4999999999998</v>
      </c>
      <c r="O63" s="15">
        <v>161.6</v>
      </c>
      <c r="P63" s="15">
        <v>166.1</v>
      </c>
      <c r="Q63" s="15">
        <v>152.69999999999999</v>
      </c>
      <c r="R63" s="15">
        <v>161</v>
      </c>
      <c r="S63" s="15">
        <v>156.80000000000001</v>
      </c>
      <c r="T63" s="15">
        <v>165</v>
      </c>
      <c r="V63" s="15">
        <v>2022</v>
      </c>
      <c r="W63" s="15" t="s">
        <v>31</v>
      </c>
      <c r="X63" s="15" t="str">
        <f t="shared" si="0"/>
        <v>January 2022</v>
      </c>
      <c r="Y63" s="9">
        <f t="shared" si="2"/>
        <v>-1.141045958795577E-2</v>
      </c>
      <c r="Z63" s="9">
        <f t="shared" si="3"/>
        <v>-6.184291898577262E-4</v>
      </c>
      <c r="AA63" s="9">
        <f t="shared" si="4"/>
        <v>6.0569351907934586E-3</v>
      </c>
      <c r="AB63" s="9">
        <f t="shared" si="5"/>
        <v>5.928853754940561E-3</v>
      </c>
      <c r="AC63" s="9">
        <f t="shared" si="6"/>
        <v>2.4906600249066358E-3</v>
      </c>
      <c r="AD63" s="9">
        <f t="shared" si="7"/>
        <v>5.1282051282052011E-3</v>
      </c>
      <c r="AE63" s="9">
        <f t="shared" si="8"/>
        <v>-1.2106537530265657E-3</v>
      </c>
    </row>
    <row r="64" spans="2:31" x14ac:dyDescent="0.35">
      <c r="B64" s="15" t="s">
        <v>33</v>
      </c>
      <c r="C64" s="15">
        <v>2022</v>
      </c>
      <c r="D64" s="15" t="s">
        <v>35</v>
      </c>
      <c r="E64" s="15">
        <v>152.5</v>
      </c>
      <c r="F64" s="15">
        <v>205.2</v>
      </c>
      <c r="G64" s="15">
        <v>176.4</v>
      </c>
      <c r="H64" s="15">
        <v>160.6</v>
      </c>
      <c r="I64" s="15">
        <v>171.5</v>
      </c>
      <c r="J64" s="15">
        <v>156.4</v>
      </c>
      <c r="K64" s="15">
        <v>198</v>
      </c>
      <c r="L64" s="15">
        <v>163.19999999999999</v>
      </c>
      <c r="M64" s="5">
        <v>172.2</v>
      </c>
      <c r="N64" s="15">
        <f t="shared" si="1"/>
        <v>1556</v>
      </c>
      <c r="O64" s="15">
        <v>163</v>
      </c>
      <c r="P64" s="15">
        <v>167.2</v>
      </c>
      <c r="Q64" s="15">
        <v>153.1</v>
      </c>
      <c r="R64" s="15">
        <v>162</v>
      </c>
      <c r="S64" s="15">
        <v>157.4</v>
      </c>
      <c r="T64" s="15">
        <v>165.5</v>
      </c>
      <c r="V64" s="15">
        <v>2022</v>
      </c>
      <c r="W64" s="15" t="s">
        <v>35</v>
      </c>
      <c r="X64" s="15" t="str">
        <f t="shared" si="0"/>
        <v>February 2022</v>
      </c>
      <c r="Y64" s="9">
        <f t="shared" si="2"/>
        <v>-2.2443090734208227E-3</v>
      </c>
      <c r="Z64" s="9">
        <f t="shared" si="3"/>
        <v>8.6633663366336988E-3</v>
      </c>
      <c r="AA64" s="9">
        <f t="shared" si="4"/>
        <v>6.6225165562913569E-3</v>
      </c>
      <c r="AB64" s="9">
        <f t="shared" si="5"/>
        <v>2.6195153896529516E-3</v>
      </c>
      <c r="AC64" s="9">
        <f t="shared" si="6"/>
        <v>6.2111801242236021E-3</v>
      </c>
      <c r="AD64" s="9">
        <f t="shared" si="7"/>
        <v>3.8265306122448614E-3</v>
      </c>
      <c r="AE64" s="9">
        <f t="shared" si="8"/>
        <v>3.0303030303030303E-3</v>
      </c>
    </row>
    <row r="65" spans="2:31" x14ac:dyDescent="0.35">
      <c r="B65" s="15" t="s">
        <v>33</v>
      </c>
      <c r="C65" s="15">
        <v>2022</v>
      </c>
      <c r="D65" s="15" t="s">
        <v>36</v>
      </c>
      <c r="E65" s="15">
        <v>153.69999999999999</v>
      </c>
      <c r="F65" s="15">
        <v>215.8</v>
      </c>
      <c r="G65" s="15">
        <v>167.7</v>
      </c>
      <c r="H65" s="15">
        <v>162.6</v>
      </c>
      <c r="I65" s="15">
        <v>180</v>
      </c>
      <c r="J65" s="15">
        <v>159.6</v>
      </c>
      <c r="K65" s="15">
        <v>188.4</v>
      </c>
      <c r="L65" s="15">
        <v>163.4</v>
      </c>
      <c r="M65" s="5">
        <v>174.7</v>
      </c>
      <c r="N65" s="15">
        <f t="shared" si="1"/>
        <v>1565.9000000000003</v>
      </c>
      <c r="O65" s="15">
        <v>164.5</v>
      </c>
      <c r="P65" s="15">
        <v>168.2</v>
      </c>
      <c r="Q65" s="15">
        <v>154.19999999999999</v>
      </c>
      <c r="R65" s="15">
        <v>162.69999999999999</v>
      </c>
      <c r="S65" s="15">
        <v>158.6</v>
      </c>
      <c r="T65" s="15">
        <v>166.5</v>
      </c>
      <c r="V65" s="15">
        <v>2022</v>
      </c>
      <c r="W65" s="15" t="s">
        <v>36</v>
      </c>
      <c r="X65" s="15" t="str">
        <f t="shared" si="0"/>
        <v>March 2022</v>
      </c>
      <c r="Y65" s="9">
        <f t="shared" si="2"/>
        <v>6.3624678663241124E-3</v>
      </c>
      <c r="Z65" s="9">
        <f t="shared" si="3"/>
        <v>9.202453987730062E-3</v>
      </c>
      <c r="AA65" s="9">
        <f t="shared" si="4"/>
        <v>5.9808612440191387E-3</v>
      </c>
      <c r="AB65" s="9">
        <f t="shared" si="5"/>
        <v>7.1848465055518902E-3</v>
      </c>
      <c r="AC65" s="9">
        <f t="shared" si="6"/>
        <v>4.3209876543209179E-3</v>
      </c>
      <c r="AD65" s="9">
        <f t="shared" si="7"/>
        <v>7.6238881829732439E-3</v>
      </c>
      <c r="AE65" s="9">
        <f t="shared" si="8"/>
        <v>6.0422960725075529E-3</v>
      </c>
    </row>
    <row r="66" spans="2:31" x14ac:dyDescent="0.35">
      <c r="B66" s="15" t="s">
        <v>33</v>
      </c>
      <c r="C66" s="15">
        <v>2022</v>
      </c>
      <c r="D66" s="15" t="s">
        <v>37</v>
      </c>
      <c r="E66" s="15">
        <v>155.4</v>
      </c>
      <c r="F66" s="15">
        <v>215.8</v>
      </c>
      <c r="G66" s="15">
        <v>164.6</v>
      </c>
      <c r="H66" s="15">
        <v>164.2</v>
      </c>
      <c r="I66" s="15">
        <v>186</v>
      </c>
      <c r="J66" s="15">
        <v>175.9</v>
      </c>
      <c r="K66" s="15">
        <v>190.7</v>
      </c>
      <c r="L66" s="15">
        <v>164</v>
      </c>
      <c r="M66" s="5">
        <v>178</v>
      </c>
      <c r="N66" s="15">
        <f t="shared" si="1"/>
        <v>1594.6000000000001</v>
      </c>
      <c r="O66" s="15">
        <v>170.5</v>
      </c>
      <c r="P66" s="15">
        <v>169</v>
      </c>
      <c r="Q66" s="15">
        <v>159.30000000000001</v>
      </c>
      <c r="R66" s="15">
        <v>164</v>
      </c>
      <c r="S66" s="15">
        <v>159.80000000000001</v>
      </c>
      <c r="T66" s="15">
        <v>169.2</v>
      </c>
      <c r="V66" s="15">
        <v>2022</v>
      </c>
      <c r="W66" s="15" t="s">
        <v>37</v>
      </c>
      <c r="X66" s="15" t="str">
        <f t="shared" si="0"/>
        <v>April 2022</v>
      </c>
      <c r="Y66" s="9">
        <f t="shared" si="2"/>
        <v>1.8328118015198808E-2</v>
      </c>
      <c r="Z66" s="9">
        <f t="shared" si="3"/>
        <v>3.64741641337386E-2</v>
      </c>
      <c r="AA66" s="9">
        <f t="shared" si="4"/>
        <v>4.756242568371055E-3</v>
      </c>
      <c r="AB66" s="9">
        <f t="shared" si="5"/>
        <v>3.3073929961089647E-2</v>
      </c>
      <c r="AC66" s="9">
        <f t="shared" si="6"/>
        <v>7.9901659496005618E-3</v>
      </c>
      <c r="AD66" s="9">
        <f t="shared" si="7"/>
        <v>7.5662042875158705E-3</v>
      </c>
      <c r="AE66" s="9">
        <f t="shared" si="8"/>
        <v>1.6216216216216148E-2</v>
      </c>
    </row>
    <row r="67" spans="2:31" x14ac:dyDescent="0.35">
      <c r="B67" s="15" t="s">
        <v>33</v>
      </c>
      <c r="C67" s="15">
        <v>2022</v>
      </c>
      <c r="D67" s="15" t="s">
        <v>38</v>
      </c>
      <c r="E67" s="15">
        <v>156.69999999999999</v>
      </c>
      <c r="F67" s="15">
        <v>221.2</v>
      </c>
      <c r="G67" s="15">
        <v>164.1</v>
      </c>
      <c r="H67" s="15">
        <v>165.4</v>
      </c>
      <c r="I67" s="15">
        <v>189.5</v>
      </c>
      <c r="J67" s="15">
        <v>174.5</v>
      </c>
      <c r="K67" s="15">
        <v>203.2</v>
      </c>
      <c r="L67" s="15">
        <v>164.1</v>
      </c>
      <c r="M67" s="5">
        <v>181.4</v>
      </c>
      <c r="N67" s="15">
        <f t="shared" si="1"/>
        <v>1620.1000000000001</v>
      </c>
      <c r="O67" s="15">
        <v>173.5</v>
      </c>
      <c r="P67" s="15">
        <v>170.1</v>
      </c>
      <c r="Q67" s="15">
        <v>159.4</v>
      </c>
      <c r="R67" s="15">
        <v>165.2</v>
      </c>
      <c r="S67" s="15">
        <v>161.1</v>
      </c>
      <c r="T67" s="15">
        <v>170.8</v>
      </c>
      <c r="V67" s="15">
        <v>2022</v>
      </c>
      <c r="W67" s="15" t="s">
        <v>38</v>
      </c>
      <c r="X67" s="15" t="str">
        <f t="shared" si="0"/>
        <v>May 2022</v>
      </c>
      <c r="Y67" s="9">
        <f t="shared" si="2"/>
        <v>1.5991471215351809E-2</v>
      </c>
      <c r="Z67" s="9">
        <f t="shared" si="3"/>
        <v>1.7595307917888565E-2</v>
      </c>
      <c r="AA67" s="9">
        <f t="shared" si="4"/>
        <v>6.5088757396449363E-3</v>
      </c>
      <c r="AB67" s="9">
        <f t="shared" si="5"/>
        <v>6.2774639045821913E-4</v>
      </c>
      <c r="AC67" s="9">
        <f t="shared" si="6"/>
        <v>7.3170731707316384E-3</v>
      </c>
      <c r="AD67" s="9">
        <f t="shared" si="7"/>
        <v>8.1351689612013944E-3</v>
      </c>
      <c r="AE67" s="9">
        <f t="shared" si="8"/>
        <v>9.4562647754138467E-3</v>
      </c>
    </row>
    <row r="68" spans="2:31" x14ac:dyDescent="0.35">
      <c r="B68" s="15" t="s">
        <v>33</v>
      </c>
      <c r="C68" s="15">
        <v>2022</v>
      </c>
      <c r="D68" s="15" t="s">
        <v>39</v>
      </c>
      <c r="E68" s="15">
        <v>157.5</v>
      </c>
      <c r="F68" s="15">
        <v>223.4</v>
      </c>
      <c r="G68" s="15">
        <v>172.8</v>
      </c>
      <c r="H68" s="15">
        <v>166.4</v>
      </c>
      <c r="I68" s="15">
        <v>188.6</v>
      </c>
      <c r="J68" s="15">
        <v>174.1</v>
      </c>
      <c r="K68" s="15">
        <v>211.5</v>
      </c>
      <c r="L68" s="15">
        <v>163.6</v>
      </c>
      <c r="M68" s="5">
        <v>183.5</v>
      </c>
      <c r="N68" s="15">
        <f t="shared" si="1"/>
        <v>1641.3999999999999</v>
      </c>
      <c r="O68" s="15">
        <v>174.9</v>
      </c>
      <c r="P68" s="15">
        <v>170.9</v>
      </c>
      <c r="Q68" s="15">
        <v>157.19999999999999</v>
      </c>
      <c r="R68" s="15">
        <v>166.5</v>
      </c>
      <c r="S68" s="15">
        <v>162.1</v>
      </c>
      <c r="T68" s="15">
        <v>171.4</v>
      </c>
      <c r="V68" s="15">
        <v>2022</v>
      </c>
      <c r="W68" s="15" t="s">
        <v>39</v>
      </c>
      <c r="X68" s="15" t="str">
        <f t="shared" si="0"/>
        <v>June 2022</v>
      </c>
      <c r="Y68" s="9">
        <f t="shared" si="2"/>
        <v>1.3147336584161302E-2</v>
      </c>
      <c r="Z68" s="9">
        <f t="shared" si="3"/>
        <v>8.0691642651297153E-3</v>
      </c>
      <c r="AA68" s="9">
        <f t="shared" si="4"/>
        <v>4.7031158142269922E-3</v>
      </c>
      <c r="AB68" s="9">
        <f t="shared" si="5"/>
        <v>-1.3801756587202113E-2</v>
      </c>
      <c r="AC68" s="9">
        <f t="shared" si="6"/>
        <v>7.8692493946731935E-3</v>
      </c>
      <c r="AD68" s="9">
        <f t="shared" si="7"/>
        <v>6.2073246430788334E-3</v>
      </c>
      <c r="AE68" s="9">
        <f t="shared" si="8"/>
        <v>3.5128805620608565E-3</v>
      </c>
    </row>
    <row r="69" spans="2:31" x14ac:dyDescent="0.35">
      <c r="B69" s="15" t="s">
        <v>33</v>
      </c>
      <c r="C69" s="15">
        <v>2022</v>
      </c>
      <c r="D69" s="15" t="s">
        <v>40</v>
      </c>
      <c r="E69" s="15">
        <v>159.30000000000001</v>
      </c>
      <c r="F69" s="15">
        <v>217.1</v>
      </c>
      <c r="G69" s="15">
        <v>176.6</v>
      </c>
      <c r="H69" s="15">
        <v>167.1</v>
      </c>
      <c r="I69" s="15">
        <v>184.8</v>
      </c>
      <c r="J69" s="15">
        <v>179.5</v>
      </c>
      <c r="K69" s="15">
        <v>208.5</v>
      </c>
      <c r="L69" s="15">
        <v>164</v>
      </c>
      <c r="M69" s="5">
        <v>186.3</v>
      </c>
      <c r="N69" s="15">
        <f t="shared" si="1"/>
        <v>1643.2</v>
      </c>
      <c r="O69" s="15">
        <v>179.5</v>
      </c>
      <c r="P69" s="15">
        <v>171.7</v>
      </c>
      <c r="Q69" s="15">
        <v>157.4</v>
      </c>
      <c r="R69" s="15">
        <v>169.1</v>
      </c>
      <c r="S69" s="15">
        <v>163.1</v>
      </c>
      <c r="T69" s="15">
        <v>172.3</v>
      </c>
      <c r="V69" s="15">
        <v>2022</v>
      </c>
      <c r="W69" s="15" t="s">
        <v>40</v>
      </c>
      <c r="X69" s="15" t="str">
        <f t="shared" si="0"/>
        <v>July 2022</v>
      </c>
      <c r="Y69" s="9">
        <f t="shared" si="2"/>
        <v>1.0966248324602061E-3</v>
      </c>
      <c r="Z69" s="9">
        <f t="shared" si="3"/>
        <v>2.6300743281875323E-2</v>
      </c>
      <c r="AA69" s="9">
        <f t="shared" si="4"/>
        <v>4.6811000585136511E-3</v>
      </c>
      <c r="AB69" s="9">
        <f t="shared" si="5"/>
        <v>1.2722646310433655E-3</v>
      </c>
      <c r="AC69" s="9">
        <f t="shared" si="6"/>
        <v>1.5615615615615582E-2</v>
      </c>
      <c r="AD69" s="9">
        <f t="shared" si="7"/>
        <v>6.1690314620604569E-3</v>
      </c>
      <c r="AE69" s="9">
        <f t="shared" si="8"/>
        <v>5.2508751458576761E-3</v>
      </c>
    </row>
    <row r="70" spans="2:31" x14ac:dyDescent="0.35">
      <c r="B70" s="15" t="s">
        <v>33</v>
      </c>
      <c r="C70" s="15">
        <v>2022</v>
      </c>
      <c r="D70" s="15" t="s">
        <v>41</v>
      </c>
      <c r="E70" s="15">
        <v>162.1</v>
      </c>
      <c r="F70" s="15">
        <v>210.9</v>
      </c>
      <c r="G70" s="15">
        <v>170.6</v>
      </c>
      <c r="H70" s="15">
        <v>168.4</v>
      </c>
      <c r="I70" s="15">
        <v>182.5</v>
      </c>
      <c r="J70" s="15">
        <v>177.1</v>
      </c>
      <c r="K70" s="15">
        <v>213.1</v>
      </c>
      <c r="L70" s="15">
        <v>167.3</v>
      </c>
      <c r="M70" s="5">
        <v>189.7</v>
      </c>
      <c r="N70" s="15">
        <f t="shared" si="1"/>
        <v>1641.6999999999998</v>
      </c>
      <c r="O70" s="15">
        <v>178.4</v>
      </c>
      <c r="P70" s="15">
        <v>172.6</v>
      </c>
      <c r="Q70" s="15">
        <v>157.69999999999999</v>
      </c>
      <c r="R70" s="15">
        <v>169.9</v>
      </c>
      <c r="S70" s="15">
        <v>164.2</v>
      </c>
      <c r="T70" s="15">
        <v>173.1</v>
      </c>
      <c r="V70" s="15">
        <v>2022</v>
      </c>
      <c r="W70" s="15" t="s">
        <v>41</v>
      </c>
      <c r="X70" s="15" t="str">
        <f t="shared" ref="X70:X79" si="9">_xlfn.CONCAT(W70," ",V70)</f>
        <v>August 2022</v>
      </c>
      <c r="Y70" s="9">
        <f t="shared" si="2"/>
        <v>-9.1285296981513349E-4</v>
      </c>
      <c r="Z70" s="9">
        <f t="shared" si="3"/>
        <v>-6.1281337047353448E-3</v>
      </c>
      <c r="AA70" s="9">
        <f t="shared" si="4"/>
        <v>5.2417006406523343E-3</v>
      </c>
      <c r="AB70" s="9">
        <f t="shared" si="5"/>
        <v>1.9059720457432208E-3</v>
      </c>
      <c r="AC70" s="9">
        <f t="shared" si="6"/>
        <v>4.730928444707341E-3</v>
      </c>
      <c r="AD70" s="9">
        <f t="shared" si="7"/>
        <v>6.7443286327406151E-3</v>
      </c>
      <c r="AE70" s="9">
        <f t="shared" si="8"/>
        <v>4.6430644225187636E-3</v>
      </c>
    </row>
    <row r="71" spans="2:31" x14ac:dyDescent="0.35">
      <c r="B71" s="15" t="s">
        <v>33</v>
      </c>
      <c r="C71" s="15">
        <v>2022</v>
      </c>
      <c r="D71" s="15" t="s">
        <v>42</v>
      </c>
      <c r="E71" s="15">
        <v>164.9</v>
      </c>
      <c r="F71" s="15">
        <v>213.7</v>
      </c>
      <c r="G71" s="15">
        <v>170.9</v>
      </c>
      <c r="H71" s="15">
        <v>170.1</v>
      </c>
      <c r="I71" s="15">
        <v>179.3</v>
      </c>
      <c r="J71" s="15">
        <v>167.5</v>
      </c>
      <c r="K71" s="15">
        <v>220.8</v>
      </c>
      <c r="L71" s="15">
        <v>169.2</v>
      </c>
      <c r="M71" s="5">
        <v>193.6</v>
      </c>
      <c r="N71" s="15">
        <f t="shared" ref="N71:N79" si="10">SUM(E71:M71)</f>
        <v>1650</v>
      </c>
      <c r="O71" s="15">
        <v>179.2</v>
      </c>
      <c r="P71" s="15">
        <v>173.8</v>
      </c>
      <c r="Q71" s="15">
        <v>158.19999999999999</v>
      </c>
      <c r="R71" s="15">
        <v>170.9</v>
      </c>
      <c r="S71" s="15">
        <v>165</v>
      </c>
      <c r="T71" s="15">
        <v>174.1</v>
      </c>
      <c r="V71" s="15">
        <v>2022</v>
      </c>
      <c r="W71" s="15" t="s">
        <v>42</v>
      </c>
      <c r="X71" s="15" t="str">
        <f t="shared" si="9"/>
        <v>September 2022</v>
      </c>
      <c r="Y71" s="9">
        <f t="shared" si="2"/>
        <v>5.0557349089359709E-3</v>
      </c>
      <c r="Z71" s="9">
        <f t="shared" si="3"/>
        <v>4.4843049327353305E-3</v>
      </c>
      <c r="AA71" s="9">
        <f t="shared" si="4"/>
        <v>6.952491309385962E-3</v>
      </c>
      <c r="AB71" s="9">
        <f t="shared" si="5"/>
        <v>3.1705770450221942E-3</v>
      </c>
      <c r="AC71" s="9">
        <f t="shared" si="6"/>
        <v>5.885815185403178E-3</v>
      </c>
      <c r="AD71" s="9">
        <f t="shared" si="7"/>
        <v>4.8721071863581699E-3</v>
      </c>
      <c r="AE71" s="9">
        <f t="shared" si="8"/>
        <v>5.7770075101097633E-3</v>
      </c>
    </row>
    <row r="72" spans="2:31" x14ac:dyDescent="0.35">
      <c r="B72" s="15" t="s">
        <v>33</v>
      </c>
      <c r="C72" s="15">
        <v>2022</v>
      </c>
      <c r="D72" s="15" t="s">
        <v>43</v>
      </c>
      <c r="E72" s="15">
        <v>166.4</v>
      </c>
      <c r="F72" s="15">
        <v>214.9</v>
      </c>
      <c r="G72" s="15">
        <v>171.9</v>
      </c>
      <c r="H72" s="15">
        <v>171</v>
      </c>
      <c r="I72" s="15">
        <v>177.7</v>
      </c>
      <c r="J72" s="15">
        <v>165.7</v>
      </c>
      <c r="K72" s="15">
        <v>228.6</v>
      </c>
      <c r="L72" s="15">
        <v>169.9</v>
      </c>
      <c r="M72" s="5">
        <v>196.4</v>
      </c>
      <c r="N72" s="15">
        <f t="shared" si="10"/>
        <v>1662.5000000000002</v>
      </c>
      <c r="O72" s="15">
        <v>180</v>
      </c>
      <c r="P72" s="15">
        <v>174.7</v>
      </c>
      <c r="Q72" s="15">
        <v>158.80000000000001</v>
      </c>
      <c r="R72" s="15">
        <v>171.2</v>
      </c>
      <c r="S72" s="15">
        <v>166</v>
      </c>
      <c r="T72" s="15">
        <v>175.3</v>
      </c>
      <c r="V72" s="15">
        <v>2022</v>
      </c>
      <c r="W72" s="15" t="s">
        <v>43</v>
      </c>
      <c r="X72" s="15" t="str">
        <f t="shared" si="9"/>
        <v>October 2022</v>
      </c>
      <c r="Y72" s="9">
        <f t="shared" ref="Y72:Y79" si="11">($N72-$N71)/$N71</f>
        <v>7.5757575757577139E-3</v>
      </c>
      <c r="Z72" s="9">
        <f t="shared" ref="Z72:Z79" si="12">($O72-$O71)/$O71</f>
        <v>4.4642857142857782E-3</v>
      </c>
      <c r="AA72" s="9">
        <f t="shared" ref="AA72:AA79" si="13">($P72-$P71)/$P71</f>
        <v>5.1783659378594775E-3</v>
      </c>
      <c r="AB72" s="9">
        <f t="shared" ref="AB72:AB79" si="14">($Q72-$Q71)/$Q71</f>
        <v>3.7926675094818126E-3</v>
      </c>
      <c r="AC72" s="9">
        <f t="shared" ref="AC72:AC79" si="15">($R72-$R71)/$R71</f>
        <v>1.7554125219425567E-3</v>
      </c>
      <c r="AD72" s="9">
        <f t="shared" ref="AD72:AD79" si="16">($S72-$S71)/$S71</f>
        <v>6.0606060606060606E-3</v>
      </c>
      <c r="AE72" s="9">
        <f t="shared" ref="AE72:AE79" si="17">($T72-$T71)/$T71</f>
        <v>6.8925904652499545E-3</v>
      </c>
    </row>
    <row r="73" spans="2:31" x14ac:dyDescent="0.35">
      <c r="B73" s="15" t="s">
        <v>33</v>
      </c>
      <c r="C73" s="15">
        <v>2022</v>
      </c>
      <c r="D73" s="15" t="s">
        <v>45</v>
      </c>
      <c r="E73" s="15">
        <v>168.4</v>
      </c>
      <c r="F73" s="15">
        <v>213.4</v>
      </c>
      <c r="G73" s="15">
        <v>183.2</v>
      </c>
      <c r="H73" s="15">
        <v>172.3</v>
      </c>
      <c r="I73" s="15">
        <v>180</v>
      </c>
      <c r="J73" s="15">
        <v>162.6</v>
      </c>
      <c r="K73" s="15">
        <v>205.5</v>
      </c>
      <c r="L73" s="15">
        <v>171</v>
      </c>
      <c r="M73" s="5">
        <v>198.8</v>
      </c>
      <c r="N73" s="15">
        <f t="shared" si="10"/>
        <v>1655.1999999999998</v>
      </c>
      <c r="O73" s="15">
        <v>180.3</v>
      </c>
      <c r="P73" s="15">
        <v>175.8</v>
      </c>
      <c r="Q73" s="15">
        <v>158.9</v>
      </c>
      <c r="R73" s="15">
        <v>171.5</v>
      </c>
      <c r="S73" s="15">
        <v>166.9</v>
      </c>
      <c r="T73" s="15">
        <v>174.1</v>
      </c>
      <c r="V73" s="15">
        <v>2022</v>
      </c>
      <c r="W73" s="15" t="s">
        <v>45</v>
      </c>
      <c r="X73" s="15" t="str">
        <f t="shared" si="9"/>
        <v>November 2022</v>
      </c>
      <c r="Y73" s="9">
        <f t="shared" si="11"/>
        <v>-4.3909774436092681E-3</v>
      </c>
      <c r="Z73" s="9">
        <f t="shared" si="12"/>
        <v>1.6666666666667299E-3</v>
      </c>
      <c r="AA73" s="9">
        <f t="shared" si="13"/>
        <v>6.2965082999428892E-3</v>
      </c>
      <c r="AB73" s="9">
        <f t="shared" si="14"/>
        <v>6.2972292191432189E-4</v>
      </c>
      <c r="AC73" s="9">
        <f t="shared" si="15"/>
        <v>1.7523364485981974E-3</v>
      </c>
      <c r="AD73" s="9">
        <f t="shared" si="16"/>
        <v>5.4216867469879864E-3</v>
      </c>
      <c r="AE73" s="9">
        <f t="shared" si="17"/>
        <v>-6.8454078722191497E-3</v>
      </c>
    </row>
    <row r="74" spans="2:31" x14ac:dyDescent="0.35">
      <c r="B74" s="15" t="s">
        <v>33</v>
      </c>
      <c r="C74" s="15">
        <v>2022</v>
      </c>
      <c r="D74" s="15" t="s">
        <v>46</v>
      </c>
      <c r="E74" s="15">
        <v>170.2</v>
      </c>
      <c r="F74" s="15">
        <v>212.9</v>
      </c>
      <c r="G74" s="15">
        <v>191.9</v>
      </c>
      <c r="H74" s="15">
        <v>173.9</v>
      </c>
      <c r="I74" s="15">
        <v>179.1</v>
      </c>
      <c r="J74" s="15">
        <v>159.5</v>
      </c>
      <c r="K74" s="15">
        <v>178.7</v>
      </c>
      <c r="L74" s="15">
        <v>171.3</v>
      </c>
      <c r="M74" s="5">
        <v>200.5</v>
      </c>
      <c r="N74" s="15">
        <f t="shared" si="10"/>
        <v>1638</v>
      </c>
      <c r="O74" s="15">
        <v>180.6</v>
      </c>
      <c r="P74" s="15">
        <v>177.2</v>
      </c>
      <c r="Q74" s="15">
        <v>159.4</v>
      </c>
      <c r="R74" s="15">
        <v>171.8</v>
      </c>
      <c r="S74" s="15">
        <v>167.3</v>
      </c>
      <c r="T74" s="15">
        <v>174.1</v>
      </c>
      <c r="V74" s="15">
        <v>2022</v>
      </c>
      <c r="W74" s="15" t="s">
        <v>46</v>
      </c>
      <c r="X74" s="15" t="str">
        <f t="shared" si="9"/>
        <v>December 2022</v>
      </c>
      <c r="Y74" s="9">
        <f t="shared" si="11"/>
        <v>-1.039149347510864E-2</v>
      </c>
      <c r="Z74" s="9">
        <f t="shared" si="12"/>
        <v>1.6638935108152131E-3</v>
      </c>
      <c r="AA74" s="9">
        <f t="shared" si="13"/>
        <v>7.9635949943115888E-3</v>
      </c>
      <c r="AB74" s="9">
        <f t="shared" si="14"/>
        <v>3.1466331025802388E-3</v>
      </c>
      <c r="AC74" s="9">
        <f t="shared" si="15"/>
        <v>1.7492711370263054E-3</v>
      </c>
      <c r="AD74" s="9">
        <f t="shared" si="16"/>
        <v>2.3966446974236408E-3</v>
      </c>
      <c r="AE74" s="9">
        <f t="shared" si="17"/>
        <v>0</v>
      </c>
    </row>
    <row r="75" spans="2:31" x14ac:dyDescent="0.35">
      <c r="B75" s="15" t="s">
        <v>33</v>
      </c>
      <c r="C75" s="15">
        <v>2023</v>
      </c>
      <c r="D75" s="15" t="s">
        <v>31</v>
      </c>
      <c r="E75" s="15">
        <v>173.3</v>
      </c>
      <c r="F75" s="15">
        <v>215.2</v>
      </c>
      <c r="G75" s="15">
        <v>197</v>
      </c>
      <c r="H75" s="15">
        <v>175.2</v>
      </c>
      <c r="I75" s="15">
        <v>178</v>
      </c>
      <c r="J75" s="15">
        <v>160.5</v>
      </c>
      <c r="K75" s="15">
        <v>175.3</v>
      </c>
      <c r="L75" s="15">
        <v>171.2</v>
      </c>
      <c r="M75" s="5">
        <v>204.3</v>
      </c>
      <c r="N75" s="15">
        <f t="shared" si="10"/>
        <v>1650</v>
      </c>
      <c r="O75" s="15">
        <v>180.1</v>
      </c>
      <c r="P75" s="15">
        <v>178.5</v>
      </c>
      <c r="Q75" s="15">
        <v>159.5</v>
      </c>
      <c r="R75" s="15">
        <v>171.8</v>
      </c>
      <c r="S75" s="15">
        <v>168</v>
      </c>
      <c r="T75" s="15">
        <v>174.9</v>
      </c>
      <c r="V75" s="15">
        <v>2023</v>
      </c>
      <c r="W75" s="15" t="s">
        <v>31</v>
      </c>
      <c r="X75" s="15" t="str">
        <f t="shared" si="9"/>
        <v>January 2023</v>
      </c>
      <c r="Y75" s="9">
        <f t="shared" si="11"/>
        <v>7.326007326007326E-3</v>
      </c>
      <c r="Z75" s="9">
        <f t="shared" si="12"/>
        <v>-2.7685492801771874E-3</v>
      </c>
      <c r="AA75" s="9">
        <f t="shared" si="13"/>
        <v>7.3363431151242178E-3</v>
      </c>
      <c r="AB75" s="9">
        <f t="shared" si="14"/>
        <v>6.2735257214551008E-4</v>
      </c>
      <c r="AC75" s="9">
        <f t="shared" si="15"/>
        <v>0</v>
      </c>
      <c r="AD75" s="9">
        <f t="shared" si="16"/>
        <v>4.1841004184099738E-3</v>
      </c>
      <c r="AE75" s="9">
        <f t="shared" si="17"/>
        <v>4.5950603101666361E-3</v>
      </c>
    </row>
    <row r="76" spans="2:31" x14ac:dyDescent="0.35">
      <c r="B76" s="15" t="s">
        <v>33</v>
      </c>
      <c r="C76" s="15">
        <v>2023</v>
      </c>
      <c r="D76" s="15" t="s">
        <v>35</v>
      </c>
      <c r="E76" s="15">
        <v>174.7</v>
      </c>
      <c r="F76" s="15">
        <v>212.2</v>
      </c>
      <c r="G76" s="15">
        <v>177.2</v>
      </c>
      <c r="H76" s="15">
        <v>177.9</v>
      </c>
      <c r="I76" s="15">
        <v>172.2</v>
      </c>
      <c r="J76" s="15">
        <v>172.1</v>
      </c>
      <c r="K76" s="15">
        <v>175.8</v>
      </c>
      <c r="L76" s="15">
        <v>172.2</v>
      </c>
      <c r="M76" s="5">
        <v>204.8</v>
      </c>
      <c r="N76" s="15">
        <f t="shared" si="10"/>
        <v>1639.0999999999997</v>
      </c>
      <c r="O76" s="15">
        <v>182.8</v>
      </c>
      <c r="P76" s="15">
        <v>180.8</v>
      </c>
      <c r="Q76" s="15">
        <v>159.80000000000001</v>
      </c>
      <c r="R76" s="15">
        <v>172.5</v>
      </c>
      <c r="S76" s="15">
        <v>169.2</v>
      </c>
      <c r="T76" s="15">
        <v>176.3</v>
      </c>
      <c r="V76" s="15">
        <v>2023</v>
      </c>
      <c r="W76" s="15" t="s">
        <v>35</v>
      </c>
      <c r="X76" s="15" t="str">
        <f t="shared" si="9"/>
        <v>February 2023</v>
      </c>
      <c r="Y76" s="9">
        <f t="shared" si="11"/>
        <v>-6.6060606060607992E-3</v>
      </c>
      <c r="Z76" s="9">
        <f t="shared" si="12"/>
        <v>1.4991671293725804E-2</v>
      </c>
      <c r="AA76" s="9">
        <f t="shared" si="13"/>
        <v>1.2885154061624713E-2</v>
      </c>
      <c r="AB76" s="9">
        <f t="shared" si="14"/>
        <v>1.8808777429467798E-3</v>
      </c>
      <c r="AC76" s="9">
        <f t="shared" si="15"/>
        <v>4.0745052386495263E-3</v>
      </c>
      <c r="AD76" s="9">
        <f t="shared" si="16"/>
        <v>7.142857142857075E-3</v>
      </c>
      <c r="AE76" s="9">
        <f t="shared" si="17"/>
        <v>8.0045740423099233E-3</v>
      </c>
    </row>
    <row r="77" spans="2:31" x14ac:dyDescent="0.35">
      <c r="B77" s="15" t="s">
        <v>33</v>
      </c>
      <c r="C77" s="15">
        <v>2023</v>
      </c>
      <c r="D77" s="15" t="s">
        <v>36</v>
      </c>
      <c r="E77" s="15">
        <v>174.7</v>
      </c>
      <c r="F77" s="15">
        <v>212.2</v>
      </c>
      <c r="G77" s="15">
        <v>177.2</v>
      </c>
      <c r="H77" s="15">
        <v>177.9</v>
      </c>
      <c r="I77" s="15">
        <v>172.2</v>
      </c>
      <c r="J77" s="15">
        <v>172.1</v>
      </c>
      <c r="K77" s="15">
        <v>175.9</v>
      </c>
      <c r="L77" s="15">
        <v>172.2</v>
      </c>
      <c r="M77" s="5">
        <v>204.8</v>
      </c>
      <c r="N77" s="15">
        <f t="shared" si="10"/>
        <v>1639.1999999999998</v>
      </c>
      <c r="O77" s="15">
        <v>182.6</v>
      </c>
      <c r="P77" s="15">
        <v>180.8</v>
      </c>
      <c r="Q77" s="15">
        <v>159.80000000000001</v>
      </c>
      <c r="R77" s="15">
        <v>172.5</v>
      </c>
      <c r="S77" s="15">
        <v>169.2</v>
      </c>
      <c r="T77" s="15">
        <v>176.3</v>
      </c>
      <c r="V77" s="15">
        <v>2023</v>
      </c>
      <c r="W77" s="15" t="s">
        <v>36</v>
      </c>
      <c r="X77" s="15" t="str">
        <f t="shared" si="9"/>
        <v>March 2023</v>
      </c>
      <c r="Y77" s="9">
        <f t="shared" si="11"/>
        <v>6.1009090354546055E-5</v>
      </c>
      <c r="Z77" s="9">
        <f t="shared" si="12"/>
        <v>-1.0940919037200057E-3</v>
      </c>
      <c r="AA77" s="9">
        <f t="shared" si="13"/>
        <v>0</v>
      </c>
      <c r="AB77" s="9">
        <f t="shared" si="14"/>
        <v>0</v>
      </c>
      <c r="AC77" s="9">
        <f t="shared" si="15"/>
        <v>0</v>
      </c>
      <c r="AD77" s="9">
        <f t="shared" si="16"/>
        <v>0</v>
      </c>
      <c r="AE77" s="9">
        <f t="shared" si="17"/>
        <v>0</v>
      </c>
    </row>
    <row r="78" spans="2:31" x14ac:dyDescent="0.35">
      <c r="B78" s="15" t="s">
        <v>33</v>
      </c>
      <c r="C78" s="15">
        <v>2023</v>
      </c>
      <c r="D78" s="15" t="s">
        <v>37</v>
      </c>
      <c r="E78" s="15">
        <v>174.8</v>
      </c>
      <c r="F78" s="15">
        <v>213.7</v>
      </c>
      <c r="G78" s="15">
        <v>172.4</v>
      </c>
      <c r="H78" s="15">
        <v>178.8</v>
      </c>
      <c r="I78" s="15">
        <v>168.7</v>
      </c>
      <c r="J78" s="15">
        <v>179.2</v>
      </c>
      <c r="K78" s="15">
        <v>179.9</v>
      </c>
      <c r="L78" s="15">
        <v>174.7</v>
      </c>
      <c r="M78" s="5">
        <v>207.8</v>
      </c>
      <c r="N78" s="15">
        <f t="shared" si="10"/>
        <v>1650.0000000000002</v>
      </c>
      <c r="O78" s="15">
        <v>182.1</v>
      </c>
      <c r="P78" s="15">
        <v>181.5</v>
      </c>
      <c r="Q78" s="15">
        <v>160.1</v>
      </c>
      <c r="R78" s="15">
        <v>174.2</v>
      </c>
      <c r="S78" s="15">
        <v>169.6</v>
      </c>
      <c r="T78" s="15">
        <v>177.4</v>
      </c>
      <c r="V78" s="15">
        <v>2023</v>
      </c>
      <c r="W78" s="15" t="s">
        <v>37</v>
      </c>
      <c r="X78" s="15" t="str">
        <f t="shared" si="9"/>
        <v>April 2023</v>
      </c>
      <c r="Y78" s="9">
        <f t="shared" si="11"/>
        <v>6.5885797950222119E-3</v>
      </c>
      <c r="Z78" s="9">
        <f t="shared" si="12"/>
        <v>-2.7382256297918948E-3</v>
      </c>
      <c r="AA78" s="9">
        <f t="shared" si="13"/>
        <v>3.8716814159291406E-3</v>
      </c>
      <c r="AB78" s="9">
        <f t="shared" si="14"/>
        <v>1.877346683354086E-3</v>
      </c>
      <c r="AC78" s="9">
        <f t="shared" si="15"/>
        <v>9.8550724637680494E-3</v>
      </c>
      <c r="AD78" s="9">
        <f t="shared" si="16"/>
        <v>2.3640661938534617E-3</v>
      </c>
      <c r="AE78" s="9">
        <f t="shared" si="17"/>
        <v>6.239364719228555E-3</v>
      </c>
    </row>
    <row r="79" spans="2:31" x14ac:dyDescent="0.35">
      <c r="B79" s="15" t="s">
        <v>33</v>
      </c>
      <c r="C79" s="15">
        <v>2023</v>
      </c>
      <c r="D79" s="15" t="s">
        <v>38</v>
      </c>
      <c r="E79" s="15">
        <v>174.7</v>
      </c>
      <c r="F79" s="15">
        <v>219.4</v>
      </c>
      <c r="G79" s="15">
        <v>176.7</v>
      </c>
      <c r="H79" s="15">
        <v>179.4</v>
      </c>
      <c r="I79" s="15">
        <v>164.4</v>
      </c>
      <c r="J79" s="15">
        <v>175.8</v>
      </c>
      <c r="K79" s="15">
        <v>185</v>
      </c>
      <c r="L79" s="15">
        <v>176.9</v>
      </c>
      <c r="M79" s="5">
        <v>211.9</v>
      </c>
      <c r="N79" s="15">
        <f t="shared" si="10"/>
        <v>1664.2</v>
      </c>
      <c r="O79" s="15">
        <v>183.4</v>
      </c>
      <c r="P79" s="15">
        <v>182.2</v>
      </c>
      <c r="Q79" s="15">
        <v>160.4</v>
      </c>
      <c r="R79" s="15">
        <v>174.8</v>
      </c>
      <c r="S79" s="15">
        <v>170.1</v>
      </c>
      <c r="T79" s="15">
        <v>178.2</v>
      </c>
      <c r="V79" s="15">
        <v>2023</v>
      </c>
      <c r="W79" s="15" t="s">
        <v>38</v>
      </c>
      <c r="X79" s="15" t="str">
        <f t="shared" si="9"/>
        <v>May 2023</v>
      </c>
      <c r="Y79" s="9">
        <f t="shared" si="11"/>
        <v>8.6060606060604939E-3</v>
      </c>
      <c r="Z79" s="9">
        <f t="shared" si="12"/>
        <v>7.1389346512905627E-3</v>
      </c>
      <c r="AA79" s="9">
        <f t="shared" si="13"/>
        <v>3.8567493112947032E-3</v>
      </c>
      <c r="AB79" s="9">
        <f t="shared" si="14"/>
        <v>1.8738288569644683E-3</v>
      </c>
      <c r="AC79" s="9">
        <f t="shared" si="15"/>
        <v>3.4443168771528289E-3</v>
      </c>
      <c r="AD79" s="9">
        <f t="shared" si="16"/>
        <v>2.94811320754717E-3</v>
      </c>
      <c r="AE79" s="9">
        <f t="shared" si="17"/>
        <v>4.5095828635850219E-3</v>
      </c>
    </row>
  </sheetData>
  <autoFilter ref="B5:T79" xr:uid="{16EE9D65-729D-4A18-B12D-B2A0CFAD8348}"/>
  <mergeCells count="3">
    <mergeCell ref="B3:T4"/>
    <mergeCell ref="V3:AE4"/>
    <mergeCell ref="AG3:AN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F65B-0E2F-44F5-BF93-0CD87D39C0D4}">
  <dimension ref="B3:AN79"/>
  <sheetViews>
    <sheetView zoomScaleNormal="100" workbookViewId="0">
      <pane xSplit="1" ySplit="5" topLeftCell="AE6" activePane="bottomRight" state="frozen"/>
      <selection pane="topRight" activeCell="B1" sqref="B1"/>
      <selection pane="bottomLeft" activeCell="A6" sqref="A6"/>
      <selection pane="bottomRight" activeCell="AN10" sqref="AN10:AN12"/>
    </sheetView>
  </sheetViews>
  <sheetFormatPr defaultRowHeight="14.5" x14ac:dyDescent="0.35"/>
  <cols>
    <col min="2" max="2" width="11.26953125" customWidth="1"/>
    <col min="3" max="3" width="4.81640625" bestFit="1" customWidth="1"/>
    <col min="4" max="4" width="9.90625" bestFit="1" customWidth="1"/>
    <col min="5" max="5" width="18.54296875" bestFit="1" customWidth="1"/>
    <col min="6" max="6" width="12.26953125" bestFit="1" customWidth="1"/>
    <col min="7" max="7" width="5.81640625" bestFit="1" customWidth="1"/>
    <col min="8" max="8" width="15.90625" bestFit="1" customWidth="1"/>
    <col min="9" max="9" width="11.08984375" bestFit="1" customWidth="1"/>
    <col min="10" max="10" width="5.81640625" bestFit="1" customWidth="1"/>
    <col min="11" max="11" width="9.81640625" bestFit="1" customWidth="1"/>
    <col min="12" max="12" width="17.6328125" bestFit="1" customWidth="1"/>
    <col min="13" max="13" width="6.81640625" bestFit="1" customWidth="1"/>
    <col min="14" max="14" width="22" bestFit="1" customWidth="1"/>
    <col min="15" max="15" width="11.90625" bestFit="1" customWidth="1"/>
    <col min="16" max="16" width="6.81640625" bestFit="1" customWidth="1"/>
    <col min="17" max="17" width="26.36328125" bestFit="1" customWidth="1"/>
    <col min="18" max="18" width="9.08984375" bestFit="1" customWidth="1"/>
    <col min="19" max="19" width="26.26953125" bestFit="1" customWidth="1"/>
    <col min="20" max="20" width="12.36328125" bestFit="1" customWidth="1"/>
    <col min="22" max="22" width="7.08984375" customWidth="1"/>
    <col min="23" max="23" width="9.90625" bestFit="1" customWidth="1"/>
    <col min="24" max="24" width="14.36328125" bestFit="1" customWidth="1"/>
    <col min="25" max="25" width="22" bestFit="1" customWidth="1"/>
    <col min="26" max="26" width="11.90625" bestFit="1" customWidth="1"/>
    <col min="27" max="27" width="6.26953125" bestFit="1" customWidth="1"/>
    <col min="28" max="28" width="26.36328125" bestFit="1" customWidth="1"/>
    <col min="29" max="29" width="9.08984375" bestFit="1" customWidth="1"/>
    <col min="30" max="30" width="26.26953125" bestFit="1" customWidth="1"/>
    <col min="31" max="31" width="12.36328125" bestFit="1" customWidth="1"/>
    <col min="34" max="34" width="22" bestFit="1" customWidth="1"/>
    <col min="35" max="35" width="11.90625" bestFit="1" customWidth="1"/>
    <col min="36" max="36" width="6.81640625" bestFit="1" customWidth="1"/>
    <col min="37" max="37" width="26.36328125" bestFit="1" customWidth="1"/>
    <col min="38" max="38" width="9.08984375" bestFit="1" customWidth="1"/>
    <col min="39" max="39" width="26.26953125" bestFit="1" customWidth="1"/>
    <col min="40" max="40" width="12.36328125" bestFit="1" customWidth="1"/>
  </cols>
  <sheetData>
    <row r="3" spans="2:40" x14ac:dyDescent="0.35">
      <c r="B3" s="64" t="s">
        <v>96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V3" s="65" t="s">
        <v>85</v>
      </c>
      <c r="W3" s="65"/>
      <c r="X3" s="65"/>
      <c r="Y3" s="65"/>
      <c r="Z3" s="65"/>
      <c r="AA3" s="65"/>
      <c r="AB3" s="65"/>
      <c r="AC3" s="65"/>
      <c r="AD3" s="65"/>
      <c r="AE3" s="65"/>
      <c r="AG3" s="67" t="s">
        <v>97</v>
      </c>
      <c r="AH3" s="67"/>
      <c r="AI3" s="67"/>
      <c r="AJ3" s="67"/>
      <c r="AK3" s="67"/>
      <c r="AL3" s="67"/>
      <c r="AM3" s="67"/>
      <c r="AN3" s="67"/>
    </row>
    <row r="4" spans="2:40" x14ac:dyDescent="0.35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V4" s="66"/>
      <c r="W4" s="66"/>
      <c r="X4" s="66"/>
      <c r="Y4" s="66"/>
      <c r="Z4" s="66"/>
      <c r="AA4" s="66"/>
      <c r="AB4" s="66"/>
      <c r="AC4" s="66"/>
      <c r="AD4" s="66"/>
      <c r="AE4" s="66"/>
      <c r="AG4" s="68"/>
      <c r="AH4" s="68"/>
      <c r="AI4" s="68"/>
      <c r="AJ4" s="68"/>
      <c r="AK4" s="68"/>
      <c r="AL4" s="68"/>
      <c r="AM4" s="68"/>
      <c r="AN4" s="68"/>
    </row>
    <row r="5" spans="2:40" x14ac:dyDescent="0.35"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12</v>
      </c>
      <c r="N5" s="15" t="s">
        <v>84</v>
      </c>
      <c r="O5" s="15" t="s">
        <v>21</v>
      </c>
      <c r="P5" s="15" t="s">
        <v>23</v>
      </c>
      <c r="Q5" s="15" t="s">
        <v>24</v>
      </c>
      <c r="R5" s="15" t="s">
        <v>26</v>
      </c>
      <c r="S5" s="15" t="s">
        <v>22</v>
      </c>
      <c r="T5" s="15" t="s">
        <v>29</v>
      </c>
      <c r="V5" s="15" t="s">
        <v>1</v>
      </c>
      <c r="W5" s="15" t="s">
        <v>2</v>
      </c>
      <c r="X5" s="15" t="s">
        <v>86</v>
      </c>
      <c r="Y5" s="15" t="s">
        <v>84</v>
      </c>
      <c r="Z5" s="15" t="s">
        <v>21</v>
      </c>
      <c r="AA5" s="15" t="s">
        <v>23</v>
      </c>
      <c r="AB5" s="15" t="s">
        <v>24</v>
      </c>
      <c r="AC5" s="15" t="s">
        <v>26</v>
      </c>
      <c r="AD5" s="15" t="s">
        <v>22</v>
      </c>
      <c r="AE5" s="15" t="s">
        <v>29</v>
      </c>
      <c r="AG5" s="15" t="s">
        <v>1</v>
      </c>
      <c r="AH5" s="15" t="s">
        <v>84</v>
      </c>
      <c r="AI5" s="15" t="s">
        <v>21</v>
      </c>
      <c r="AJ5" s="15" t="s">
        <v>23</v>
      </c>
      <c r="AK5" s="15" t="s">
        <v>24</v>
      </c>
      <c r="AL5" s="15" t="s">
        <v>26</v>
      </c>
      <c r="AM5" s="15" t="s">
        <v>22</v>
      </c>
      <c r="AN5" s="15" t="s">
        <v>29</v>
      </c>
    </row>
    <row r="6" spans="2:40" x14ac:dyDescent="0.35">
      <c r="B6" s="15" t="s">
        <v>34</v>
      </c>
      <c r="C6" s="15">
        <v>2017</v>
      </c>
      <c r="D6" s="15" t="s">
        <v>36</v>
      </c>
      <c r="E6" s="26">
        <v>133.30000000000001</v>
      </c>
      <c r="F6" s="15">
        <v>139</v>
      </c>
      <c r="G6" s="15">
        <v>128.6</v>
      </c>
      <c r="H6" s="5">
        <v>136.30000000000001</v>
      </c>
      <c r="I6" s="5">
        <v>118.8</v>
      </c>
      <c r="J6" s="5">
        <v>138.30000000000001</v>
      </c>
      <c r="K6" s="5">
        <v>120.5</v>
      </c>
      <c r="L6" s="5">
        <v>143.9</v>
      </c>
      <c r="M6" s="5">
        <v>137.9</v>
      </c>
      <c r="N6" s="27">
        <f>SUM(E6:M6)</f>
        <v>1196.6000000000001</v>
      </c>
      <c r="O6" s="15">
        <v>129.1</v>
      </c>
      <c r="P6" s="15">
        <v>127.8</v>
      </c>
      <c r="Q6" s="15">
        <v>117.6</v>
      </c>
      <c r="R6" s="15">
        <v>133.80000000000001</v>
      </c>
      <c r="S6" s="15">
        <v>130.1</v>
      </c>
      <c r="T6" s="15">
        <v>130.9</v>
      </c>
      <c r="V6" s="15">
        <v>2017</v>
      </c>
      <c r="W6" s="15" t="s">
        <v>36</v>
      </c>
      <c r="X6" s="15" t="str">
        <f t="shared" ref="X6:X69" si="0">_xlfn.CONCAT(W6," ",V6)</f>
        <v>March 2017</v>
      </c>
      <c r="Y6" s="9"/>
      <c r="Z6" s="5"/>
      <c r="AA6" s="5"/>
      <c r="AB6" s="5"/>
      <c r="AC6" s="5"/>
      <c r="AD6" s="5"/>
      <c r="AE6" s="5"/>
      <c r="AG6" s="15" t="s">
        <v>87</v>
      </c>
      <c r="AH6" s="25">
        <f>($N6-$N17)/$N6</f>
        <v>-2.5823165635968461E-2</v>
      </c>
      <c r="AI6" s="25">
        <f>($O6-$O17)/$O6</f>
        <v>-5.8869093725793915E-2</v>
      </c>
      <c r="AJ6" s="25">
        <f>(P$6-P$17)/P$6</f>
        <v>-4.6948356807511853E-2</v>
      </c>
      <c r="AK6" s="25">
        <f>(Q$6-Q$17)/Q$6</f>
        <v>-2.2108843537415039E-2</v>
      </c>
      <c r="AL6" s="25">
        <f>(R$6-R$17)/R$6</f>
        <v>-3.8863976083706939E-2</v>
      </c>
      <c r="AM6" s="25">
        <f>(S$6-S$17)/S$6</f>
        <v>-3.9200614911606417E-2</v>
      </c>
      <c r="AN6" s="25">
        <f>(T$6-T$17)/T$6</f>
        <v>-4.2016806722689072E-2</v>
      </c>
    </row>
    <row r="7" spans="2:40" x14ac:dyDescent="0.35">
      <c r="B7" s="15" t="s">
        <v>34</v>
      </c>
      <c r="C7" s="15">
        <v>2017</v>
      </c>
      <c r="D7" s="15" t="s">
        <v>37</v>
      </c>
      <c r="E7" s="26">
        <v>133</v>
      </c>
      <c r="F7" s="15">
        <v>139.4</v>
      </c>
      <c r="G7" s="15">
        <v>126.1</v>
      </c>
      <c r="H7" s="5">
        <v>137.19999999999999</v>
      </c>
      <c r="I7" s="5">
        <v>118.4</v>
      </c>
      <c r="J7" s="5">
        <v>139.9</v>
      </c>
      <c r="K7" s="5">
        <v>123.4</v>
      </c>
      <c r="L7" s="5">
        <v>140.9</v>
      </c>
      <c r="M7" s="5">
        <v>136.5</v>
      </c>
      <c r="N7" s="27">
        <f t="shared" ref="N7:N70" si="1">SUM(E7:M7)</f>
        <v>1194.8</v>
      </c>
      <c r="O7" s="15">
        <v>129.80000000000001</v>
      </c>
      <c r="P7" s="15">
        <v>128.1</v>
      </c>
      <c r="Q7" s="15">
        <v>116.6</v>
      </c>
      <c r="R7" s="15">
        <v>134.5</v>
      </c>
      <c r="S7" s="15">
        <v>130.4</v>
      </c>
      <c r="T7" s="15">
        <v>131.1</v>
      </c>
      <c r="V7" s="15">
        <v>2017</v>
      </c>
      <c r="W7" s="15" t="s">
        <v>37</v>
      </c>
      <c r="X7" s="15" t="str">
        <f t="shared" si="0"/>
        <v>April 2017</v>
      </c>
      <c r="Y7" s="9">
        <f>($N7-$N6)/$N6</f>
        <v>-1.5042620758818166E-3</v>
      </c>
      <c r="Z7" s="9">
        <f>($O7-$O6)/$O6</f>
        <v>5.4221533694811547E-3</v>
      </c>
      <c r="AA7" s="9">
        <f>($P7-$P6)/$P6</f>
        <v>2.3474178403755648E-3</v>
      </c>
      <c r="AB7" s="9">
        <f>($Q7-$Q6)/$Q6</f>
        <v>-8.5034013605442185E-3</v>
      </c>
      <c r="AC7" s="9">
        <f>($R7-$R6)/$R6</f>
        <v>5.2316890881912445E-3</v>
      </c>
      <c r="AD7" s="9">
        <f>($S7-$S6)/$S6</f>
        <v>2.3059185242122319E-3</v>
      </c>
      <c r="AE7" s="9">
        <f>($T7-$T6)/$T6</f>
        <v>1.5278838808249703E-3</v>
      </c>
      <c r="AG7" s="15" t="s">
        <v>88</v>
      </c>
      <c r="AH7" s="25">
        <f>($N29-$N18)/$N18</f>
        <v>-8.9928057553967985E-4</v>
      </c>
      <c r="AI7" s="25">
        <f>($O29-$O18)/$O18</f>
        <v>1.3919413919413962E-2</v>
      </c>
      <c r="AJ7" s="25">
        <f>(P$29-P$18)/P$18</f>
        <v>8.4139985107967108E-2</v>
      </c>
      <c r="AK7" s="25">
        <f>(Q$29-Q$18)/Q$18</f>
        <v>2.3966942148760377E-2</v>
      </c>
      <c r="AL7" s="25">
        <f>(R$29-R$18)/R$18</f>
        <v>7.5107296137339047E-2</v>
      </c>
      <c r="AM7" s="25">
        <f>(S$29-S$18)/S$18</f>
        <v>5.9734513274336244E-2</v>
      </c>
      <c r="AN7" s="25">
        <f>(T$29-T$18)/T$18</f>
        <v>2.4908424908424952E-2</v>
      </c>
    </row>
    <row r="8" spans="2:40" x14ac:dyDescent="0.35">
      <c r="B8" s="15" t="s">
        <v>34</v>
      </c>
      <c r="C8" s="15">
        <v>2017</v>
      </c>
      <c r="D8" s="15" t="s">
        <v>38</v>
      </c>
      <c r="E8" s="26">
        <v>132.9</v>
      </c>
      <c r="F8" s="15">
        <v>141.6</v>
      </c>
      <c r="G8" s="15">
        <v>126.3</v>
      </c>
      <c r="H8" s="5">
        <v>137.69999999999999</v>
      </c>
      <c r="I8" s="5">
        <v>118.1</v>
      </c>
      <c r="J8" s="5">
        <v>137.9</v>
      </c>
      <c r="K8" s="5">
        <v>125.6</v>
      </c>
      <c r="L8" s="5">
        <v>138.30000000000001</v>
      </c>
      <c r="M8" s="5">
        <v>136</v>
      </c>
      <c r="N8" s="27">
        <f t="shared" si="1"/>
        <v>1194.4000000000001</v>
      </c>
      <c r="O8" s="15">
        <v>129.4</v>
      </c>
      <c r="P8" s="15">
        <v>128.4</v>
      </c>
      <c r="Q8" s="15">
        <v>116.7</v>
      </c>
      <c r="R8" s="15">
        <v>134.80000000000001</v>
      </c>
      <c r="S8" s="15">
        <v>130.9</v>
      </c>
      <c r="T8" s="15">
        <v>131.4</v>
      </c>
      <c r="V8" s="15">
        <v>2017</v>
      </c>
      <c r="W8" s="15" t="s">
        <v>38</v>
      </c>
      <c r="X8" s="15" t="str">
        <f t="shared" si="0"/>
        <v>May 2017</v>
      </c>
      <c r="Y8" s="9">
        <f t="shared" ref="Y8:Y71" si="2">($N8-$N7)/$N7</f>
        <v>-3.3478406427842619E-4</v>
      </c>
      <c r="Z8" s="9">
        <f t="shared" ref="Z8:Z71" si="3">($O8-$O7)/$O7</f>
        <v>-3.0816640986132946E-3</v>
      </c>
      <c r="AA8" s="9">
        <f t="shared" ref="AA8:AA71" si="4">($P8-$P7)/$P7</f>
        <v>2.3419203747073489E-3</v>
      </c>
      <c r="AB8" s="9">
        <f t="shared" ref="AB8:AB71" si="5">($Q8-$Q7)/$Q7</f>
        <v>8.5763293310470439E-4</v>
      </c>
      <c r="AC8" s="9">
        <f t="shared" ref="AC8:AC71" si="6">($R8-$R7)/$R7</f>
        <v>2.2304832713755493E-3</v>
      </c>
      <c r="AD8" s="9">
        <f t="shared" ref="AD8:AD71" si="7">($S8-$S7)/$S7</f>
        <v>3.8343558282208589E-3</v>
      </c>
      <c r="AE8" s="9">
        <f t="shared" ref="AE8:AE71" si="8">($T8-$T7)/$T7</f>
        <v>2.2883295194508877E-3</v>
      </c>
      <c r="AG8" s="15" t="s">
        <v>89</v>
      </c>
      <c r="AH8" s="25">
        <f>($N40-$N30)/$N30</f>
        <v>0.10188279403374358</v>
      </c>
      <c r="AI8" s="25">
        <f>($O40-$O30)/$O30</f>
        <v>5.368647100930566E-2</v>
      </c>
      <c r="AJ8" s="25">
        <f>(P$40-P$30)/P$30</f>
        <v>3.761969904240766E-2</v>
      </c>
      <c r="AK8" s="25">
        <f>(Q$40-Q$30)/Q$30</f>
        <v>4.5746388443017795E-2</v>
      </c>
      <c r="AL8" s="25">
        <f>(R$40-R$30)/R$30</f>
        <v>3.9254823685961254E-2</v>
      </c>
      <c r="AM8" s="25">
        <f>(S$40-S$30)/S$30</f>
        <v>1.8080667593880349E-2</v>
      </c>
      <c r="AN8" s="25">
        <f>(T$40-T$30)/T$30</f>
        <v>6.1965811965811884E-2</v>
      </c>
    </row>
    <row r="9" spans="2:40" x14ac:dyDescent="0.35">
      <c r="B9" s="15" t="s">
        <v>34</v>
      </c>
      <c r="C9" s="15">
        <v>2017</v>
      </c>
      <c r="D9" s="15" t="s">
        <v>39</v>
      </c>
      <c r="E9" s="26">
        <v>133.30000000000001</v>
      </c>
      <c r="F9" s="15">
        <v>145.5</v>
      </c>
      <c r="G9" s="15">
        <v>128.1</v>
      </c>
      <c r="H9" s="5">
        <v>138.1</v>
      </c>
      <c r="I9" s="5">
        <v>118.2</v>
      </c>
      <c r="J9" s="5">
        <v>139.19999999999999</v>
      </c>
      <c r="K9" s="5">
        <v>133.30000000000001</v>
      </c>
      <c r="L9" s="5">
        <v>136.19999999999999</v>
      </c>
      <c r="M9" s="5">
        <v>135.30000000000001</v>
      </c>
      <c r="N9" s="27">
        <f t="shared" si="1"/>
        <v>1207.2</v>
      </c>
      <c r="O9" s="15">
        <v>128.80000000000001</v>
      </c>
      <c r="P9" s="15">
        <v>128.5</v>
      </c>
      <c r="Q9" s="15">
        <v>116.5</v>
      </c>
      <c r="R9" s="15">
        <v>135.4</v>
      </c>
      <c r="S9" s="15">
        <v>131.19999999999999</v>
      </c>
      <c r="T9" s="15">
        <v>132</v>
      </c>
      <c r="V9" s="15">
        <v>2017</v>
      </c>
      <c r="W9" s="15" t="s">
        <v>39</v>
      </c>
      <c r="X9" s="15" t="str">
        <f t="shared" si="0"/>
        <v>June 2017</v>
      </c>
      <c r="Y9" s="9">
        <f t="shared" si="2"/>
        <v>1.0716677829872701E-2</v>
      </c>
      <c r="Z9" s="9">
        <f t="shared" si="3"/>
        <v>-4.6367851622874361E-3</v>
      </c>
      <c r="AA9" s="9">
        <f t="shared" si="4"/>
        <v>7.7881619937690278E-4</v>
      </c>
      <c r="AB9" s="9">
        <f t="shared" si="5"/>
        <v>-1.7137960582690904E-3</v>
      </c>
      <c r="AC9" s="9">
        <f t="shared" si="6"/>
        <v>4.4510385756676134E-3</v>
      </c>
      <c r="AD9" s="9">
        <f t="shared" si="7"/>
        <v>2.2918258212374556E-3</v>
      </c>
      <c r="AE9" s="9">
        <f t="shared" si="8"/>
        <v>4.5662100456620568E-3</v>
      </c>
      <c r="AG9" s="5"/>
      <c r="AH9" s="5"/>
      <c r="AI9" s="5"/>
      <c r="AJ9" s="5"/>
      <c r="AK9" s="5"/>
      <c r="AL9" s="5"/>
      <c r="AM9" s="5"/>
      <c r="AN9" s="5"/>
    </row>
    <row r="10" spans="2:40" x14ac:dyDescent="0.35">
      <c r="B10" s="15" t="s">
        <v>34</v>
      </c>
      <c r="C10" s="15">
        <v>2017</v>
      </c>
      <c r="D10" s="15" t="s">
        <v>40</v>
      </c>
      <c r="E10" s="26">
        <v>133.6</v>
      </c>
      <c r="F10" s="15">
        <v>145.69999999999999</v>
      </c>
      <c r="G10" s="15">
        <v>129.6</v>
      </c>
      <c r="H10" s="5">
        <v>138.5</v>
      </c>
      <c r="I10" s="5">
        <v>118.1</v>
      </c>
      <c r="J10" s="5">
        <v>141.80000000000001</v>
      </c>
      <c r="K10" s="5">
        <v>159.5</v>
      </c>
      <c r="L10" s="5">
        <v>133.6</v>
      </c>
      <c r="M10" s="5">
        <v>135.19999999999999</v>
      </c>
      <c r="N10" s="27">
        <f t="shared" si="1"/>
        <v>1235.5999999999999</v>
      </c>
      <c r="O10" s="15">
        <v>129.4</v>
      </c>
      <c r="P10" s="15">
        <v>129.4</v>
      </c>
      <c r="Q10" s="15">
        <v>116</v>
      </c>
      <c r="R10" s="15">
        <v>136.80000000000001</v>
      </c>
      <c r="S10" s="15">
        <v>131.9</v>
      </c>
      <c r="T10" s="15">
        <v>134.19999999999999</v>
      </c>
      <c r="V10" s="15">
        <v>2017</v>
      </c>
      <c r="W10" s="15" t="s">
        <v>40</v>
      </c>
      <c r="X10" s="15" t="str">
        <f t="shared" si="0"/>
        <v>July 2017</v>
      </c>
      <c r="Y10" s="9">
        <f t="shared" si="2"/>
        <v>2.352551358515562E-2</v>
      </c>
      <c r="Z10" s="9">
        <f t="shared" si="3"/>
        <v>4.6583850931676577E-3</v>
      </c>
      <c r="AA10" s="9">
        <f t="shared" si="4"/>
        <v>7.0038910505837021E-3</v>
      </c>
      <c r="AB10" s="9">
        <f t="shared" si="5"/>
        <v>-4.2918454935622317E-3</v>
      </c>
      <c r="AC10" s="9">
        <f t="shared" si="6"/>
        <v>1.0339734121122641E-2</v>
      </c>
      <c r="AD10" s="9">
        <f t="shared" si="7"/>
        <v>5.3353658536586671E-3</v>
      </c>
      <c r="AE10" s="9">
        <f t="shared" si="8"/>
        <v>1.666666666666658E-2</v>
      </c>
      <c r="AG10" s="15" t="s">
        <v>90</v>
      </c>
      <c r="AH10" s="25">
        <f>($N52-$N41)/$N41</f>
        <v>8.1974569932685218E-2</v>
      </c>
      <c r="AI10" s="25">
        <f>($O52-$O41)/$O41</f>
        <v>2.3505708529214239E-2</v>
      </c>
      <c r="AJ10" s="25">
        <f>(P$52-P$41)/P$41</f>
        <v>5.9093893630991462E-2</v>
      </c>
      <c r="AK10" s="25">
        <f>(Q$52-Q$41)/Q$41</f>
        <v>0.11701308698999222</v>
      </c>
      <c r="AL10" s="25">
        <f>(R$52-R$41)/R$41</f>
        <v>2.1780909673286393E-2</v>
      </c>
      <c r="AM10" s="25">
        <f>(S$52-S$41)/S$41</f>
        <v>3.0737704918032786E-2</v>
      </c>
      <c r="AN10" s="25">
        <f>(T$52-T$41)/T$41</f>
        <v>5.3835800807537013E-2</v>
      </c>
    </row>
    <row r="11" spans="2:40" x14ac:dyDescent="0.35">
      <c r="B11" s="15" t="s">
        <v>34</v>
      </c>
      <c r="C11" s="15">
        <v>2017</v>
      </c>
      <c r="D11" s="15" t="s">
        <v>41</v>
      </c>
      <c r="E11" s="26">
        <v>134.30000000000001</v>
      </c>
      <c r="F11" s="15">
        <v>143.4</v>
      </c>
      <c r="G11" s="15">
        <v>129.30000000000001</v>
      </c>
      <c r="H11" s="5">
        <v>139</v>
      </c>
      <c r="I11" s="5">
        <v>118.1</v>
      </c>
      <c r="J11" s="5">
        <v>145.5</v>
      </c>
      <c r="K11" s="5">
        <v>168.6</v>
      </c>
      <c r="L11" s="5">
        <v>132.69999999999999</v>
      </c>
      <c r="M11" s="5">
        <v>135.6</v>
      </c>
      <c r="N11" s="27">
        <f t="shared" si="1"/>
        <v>1246.5</v>
      </c>
      <c r="O11" s="15">
        <v>129.80000000000001</v>
      </c>
      <c r="P11" s="15">
        <v>130.19999999999999</v>
      </c>
      <c r="Q11" s="15">
        <v>117.3</v>
      </c>
      <c r="R11" s="15">
        <v>137.6</v>
      </c>
      <c r="S11" s="15">
        <v>132.80000000000001</v>
      </c>
      <c r="T11" s="15">
        <v>135.4</v>
      </c>
      <c r="V11" s="15">
        <v>2017</v>
      </c>
      <c r="W11" s="15" t="s">
        <v>41</v>
      </c>
      <c r="X11" s="15" t="str">
        <f t="shared" si="0"/>
        <v>August 2017</v>
      </c>
      <c r="Y11" s="9">
        <f t="shared" si="2"/>
        <v>8.8216251213985852E-3</v>
      </c>
      <c r="Z11" s="9">
        <f t="shared" si="3"/>
        <v>3.0911901081916975E-3</v>
      </c>
      <c r="AA11" s="9">
        <f t="shared" si="4"/>
        <v>6.1823802163831756E-3</v>
      </c>
      <c r="AB11" s="9">
        <f t="shared" si="5"/>
        <v>1.1206896551724113E-2</v>
      </c>
      <c r="AC11" s="9">
        <f t="shared" si="6"/>
        <v>5.8479532163741438E-3</v>
      </c>
      <c r="AD11" s="9">
        <f t="shared" si="7"/>
        <v>6.8233510235026964E-3</v>
      </c>
      <c r="AE11" s="9">
        <f t="shared" si="8"/>
        <v>8.9418777943369391E-3</v>
      </c>
      <c r="AG11" s="15" t="s">
        <v>91</v>
      </c>
      <c r="AH11" s="25">
        <f>($N64-$N53)/$N53</f>
        <v>6.0882800608828169E-2</v>
      </c>
      <c r="AI11" s="25">
        <f>($O64-$O53)/$O53</f>
        <v>6.559485530546616E-2</v>
      </c>
      <c r="AJ11" s="25">
        <f>(P$64-P$53)/P$53</f>
        <v>6.4935064935064943E-2</v>
      </c>
      <c r="AK11" s="25">
        <f>(Q$64-Q$53)/Q$53</f>
        <v>7.3187414500684111E-2</v>
      </c>
      <c r="AL11" s="25">
        <f>(R$64-R$53)/R$53</f>
        <v>3.2459425717852791E-2</v>
      </c>
      <c r="AM11" s="25">
        <f>(S$64-S$53)/S$53</f>
        <v>7.0105820105820255E-2</v>
      </c>
      <c r="AN11" s="25">
        <f>(T$64-T$53)/T$53</f>
        <v>5.9311224489795804E-2</v>
      </c>
    </row>
    <row r="12" spans="2:40" x14ac:dyDescent="0.35">
      <c r="B12" s="15" t="s">
        <v>34</v>
      </c>
      <c r="C12" s="15">
        <v>2017</v>
      </c>
      <c r="D12" s="15" t="s">
        <v>42</v>
      </c>
      <c r="E12" s="26">
        <v>134.69999999999999</v>
      </c>
      <c r="F12" s="15">
        <v>142.4</v>
      </c>
      <c r="G12" s="15">
        <v>130.19999999999999</v>
      </c>
      <c r="H12" s="5">
        <v>139.6</v>
      </c>
      <c r="I12" s="5">
        <v>118.4</v>
      </c>
      <c r="J12" s="5">
        <v>143</v>
      </c>
      <c r="K12" s="5">
        <v>156.6</v>
      </c>
      <c r="L12" s="5">
        <v>132.9</v>
      </c>
      <c r="M12" s="5">
        <v>135.6</v>
      </c>
      <c r="N12" s="27">
        <f t="shared" si="1"/>
        <v>1233.3999999999999</v>
      </c>
      <c r="O12" s="15">
        <v>131</v>
      </c>
      <c r="P12" s="15">
        <v>130.6</v>
      </c>
      <c r="Q12" s="15">
        <v>118.3</v>
      </c>
      <c r="R12" s="15">
        <v>137.4</v>
      </c>
      <c r="S12" s="15">
        <v>133.30000000000001</v>
      </c>
      <c r="T12" s="15">
        <v>135.19999999999999</v>
      </c>
      <c r="V12" s="15">
        <v>2017</v>
      </c>
      <c r="W12" s="15" t="s">
        <v>42</v>
      </c>
      <c r="X12" s="15" t="str">
        <f t="shared" si="0"/>
        <v>September 2017</v>
      </c>
      <c r="Y12" s="9">
        <f t="shared" si="2"/>
        <v>-1.0509426393903037E-2</v>
      </c>
      <c r="Z12" s="9">
        <f t="shared" si="3"/>
        <v>9.2449922958396658E-3</v>
      </c>
      <c r="AA12" s="9">
        <f t="shared" si="4"/>
        <v>3.0721966205837612E-3</v>
      </c>
      <c r="AB12" s="9">
        <f t="shared" si="5"/>
        <v>8.5251491901108273E-3</v>
      </c>
      <c r="AC12" s="9">
        <f t="shared" si="6"/>
        <v>-1.4534883720929406E-3</v>
      </c>
      <c r="AD12" s="9">
        <f t="shared" si="7"/>
        <v>3.765060240963855E-3</v>
      </c>
      <c r="AE12" s="9">
        <f t="shared" si="8"/>
        <v>-1.4771048744462115E-3</v>
      </c>
      <c r="AG12" s="15" t="s">
        <v>92</v>
      </c>
      <c r="AH12" s="25">
        <f>($N65-$N76)/$N65</f>
        <v>-4.148415356866763E-2</v>
      </c>
      <c r="AI12" s="25">
        <f>($O65-$O76)/$O65</f>
        <v>-8.9114832535885202E-2</v>
      </c>
      <c r="AJ12" s="25">
        <f>(P$65-P$76)/P$65</f>
        <v>-6.589595375722547E-2</v>
      </c>
      <c r="AK12" s="25">
        <f>(Q$65-Q$76)/Q$65</f>
        <v>-3.9898670044331744E-2</v>
      </c>
      <c r="AL12" s="25">
        <f>(R$65-R$76)/R$65</f>
        <v>-5.4216867469879519E-2</v>
      </c>
      <c r="AM12" s="25">
        <f>(S$65-S$76)/S$65</f>
        <v>-7.0024570024569882E-2</v>
      </c>
      <c r="AN12" s="25">
        <f>(T$65-T$76)/T$65</f>
        <v>-5.6648777579010143E-2</v>
      </c>
    </row>
    <row r="13" spans="2:40" x14ac:dyDescent="0.35">
      <c r="B13" s="15" t="s">
        <v>34</v>
      </c>
      <c r="C13" s="15">
        <v>2017</v>
      </c>
      <c r="D13" s="15" t="s">
        <v>43</v>
      </c>
      <c r="E13" s="26">
        <v>135.30000000000001</v>
      </c>
      <c r="F13" s="15">
        <v>142.19999999999999</v>
      </c>
      <c r="G13" s="15">
        <v>131.19999999999999</v>
      </c>
      <c r="H13" s="5">
        <v>140.6</v>
      </c>
      <c r="I13" s="5">
        <v>119</v>
      </c>
      <c r="J13" s="5">
        <v>141.5</v>
      </c>
      <c r="K13" s="5">
        <v>162.6</v>
      </c>
      <c r="L13" s="5">
        <v>132.30000000000001</v>
      </c>
      <c r="M13" s="5">
        <v>136.30000000000001</v>
      </c>
      <c r="N13" s="27">
        <f t="shared" si="1"/>
        <v>1241</v>
      </c>
      <c r="O13" s="15">
        <v>132.19999999999999</v>
      </c>
      <c r="P13" s="15">
        <v>131.30000000000001</v>
      </c>
      <c r="Q13" s="15">
        <v>117.8</v>
      </c>
      <c r="R13" s="15">
        <v>137.9</v>
      </c>
      <c r="S13" s="15">
        <v>133.6</v>
      </c>
      <c r="T13" s="15">
        <v>136.1</v>
      </c>
      <c r="V13" s="15">
        <v>2017</v>
      </c>
      <c r="W13" s="15" t="s">
        <v>43</v>
      </c>
      <c r="X13" s="15" t="str">
        <f t="shared" si="0"/>
        <v>October 2017</v>
      </c>
      <c r="Y13" s="9">
        <f t="shared" si="2"/>
        <v>6.1618290903195537E-3</v>
      </c>
      <c r="Z13" s="9">
        <f t="shared" si="3"/>
        <v>9.160305343511364E-3</v>
      </c>
      <c r="AA13" s="9">
        <f t="shared" si="4"/>
        <v>5.3598774885146791E-3</v>
      </c>
      <c r="AB13" s="9">
        <f t="shared" si="5"/>
        <v>-4.22654268808115E-3</v>
      </c>
      <c r="AC13" s="9">
        <f t="shared" si="6"/>
        <v>3.6390101892285298E-3</v>
      </c>
      <c r="AD13" s="9">
        <f t="shared" si="7"/>
        <v>2.250562640660037E-3</v>
      </c>
      <c r="AE13" s="9">
        <f t="shared" si="8"/>
        <v>6.6568047337278533E-3</v>
      </c>
    </row>
    <row r="14" spans="2:40" x14ac:dyDescent="0.35">
      <c r="B14" s="15" t="s">
        <v>34</v>
      </c>
      <c r="C14" s="15">
        <v>2017</v>
      </c>
      <c r="D14" s="15" t="s">
        <v>45</v>
      </c>
      <c r="E14" s="26">
        <v>135.69999999999999</v>
      </c>
      <c r="F14" s="15">
        <v>142.4</v>
      </c>
      <c r="G14" s="15">
        <v>142.9</v>
      </c>
      <c r="H14" s="5">
        <v>140.80000000000001</v>
      </c>
      <c r="I14" s="5">
        <v>119.2</v>
      </c>
      <c r="J14" s="5">
        <v>142.19999999999999</v>
      </c>
      <c r="K14" s="5">
        <v>173.8</v>
      </c>
      <c r="L14" s="5">
        <v>131.19999999999999</v>
      </c>
      <c r="M14" s="5">
        <v>136.80000000000001</v>
      </c>
      <c r="N14" s="27">
        <f t="shared" si="1"/>
        <v>1265</v>
      </c>
      <c r="O14" s="15">
        <v>135.30000000000001</v>
      </c>
      <c r="P14" s="15">
        <v>132.6</v>
      </c>
      <c r="Q14" s="15">
        <v>118.3</v>
      </c>
      <c r="R14" s="15">
        <v>138.6</v>
      </c>
      <c r="S14" s="15">
        <v>134.4</v>
      </c>
      <c r="T14" s="15">
        <v>137.6</v>
      </c>
      <c r="V14" s="15">
        <v>2017</v>
      </c>
      <c r="W14" s="15" t="s">
        <v>45</v>
      </c>
      <c r="X14" s="15" t="str">
        <f t="shared" si="0"/>
        <v>November 2017</v>
      </c>
      <c r="Y14" s="9">
        <f t="shared" si="2"/>
        <v>1.9339242546333603E-2</v>
      </c>
      <c r="Z14" s="9">
        <f t="shared" si="3"/>
        <v>2.3449319213313335E-2</v>
      </c>
      <c r="AA14" s="9">
        <f t="shared" si="4"/>
        <v>9.900990099009771E-3</v>
      </c>
      <c r="AB14" s="9">
        <f t="shared" si="5"/>
        <v>4.2444821731748728E-3</v>
      </c>
      <c r="AC14" s="9">
        <f t="shared" si="6"/>
        <v>5.0761421319796126E-3</v>
      </c>
      <c r="AD14" s="9">
        <f t="shared" si="7"/>
        <v>5.9880239520958937E-3</v>
      </c>
      <c r="AE14" s="9">
        <f t="shared" si="8"/>
        <v>1.1021307861866276E-2</v>
      </c>
    </row>
    <row r="15" spans="2:40" x14ac:dyDescent="0.35">
      <c r="B15" s="15" t="s">
        <v>34</v>
      </c>
      <c r="C15" s="15">
        <v>2017</v>
      </c>
      <c r="D15" s="15" t="s">
        <v>46</v>
      </c>
      <c r="E15" s="26">
        <v>135.80000000000001</v>
      </c>
      <c r="F15" s="15">
        <v>143.30000000000001</v>
      </c>
      <c r="G15" s="15">
        <v>145.19999999999999</v>
      </c>
      <c r="H15" s="5">
        <v>141</v>
      </c>
      <c r="I15" s="5">
        <v>120.5</v>
      </c>
      <c r="J15" s="5">
        <v>141.5</v>
      </c>
      <c r="K15" s="5">
        <v>161.69999999999999</v>
      </c>
      <c r="L15" s="5">
        <v>129.1</v>
      </c>
      <c r="M15" s="5">
        <v>137.1</v>
      </c>
      <c r="N15" s="27">
        <f t="shared" si="1"/>
        <v>1255.1999999999998</v>
      </c>
      <c r="O15" s="15">
        <v>136.6</v>
      </c>
      <c r="P15" s="15">
        <v>133.1</v>
      </c>
      <c r="Q15" s="15">
        <v>118.5</v>
      </c>
      <c r="R15" s="15">
        <v>138.5</v>
      </c>
      <c r="S15" s="15">
        <v>134.69999999999999</v>
      </c>
      <c r="T15" s="15">
        <v>137.19999999999999</v>
      </c>
      <c r="V15" s="15">
        <v>2017</v>
      </c>
      <c r="W15" s="15" t="s">
        <v>46</v>
      </c>
      <c r="X15" s="15" t="str">
        <f t="shared" si="0"/>
        <v>December 2017</v>
      </c>
      <c r="Y15" s="9">
        <f t="shared" si="2"/>
        <v>-7.7470355731226737E-3</v>
      </c>
      <c r="Z15" s="9">
        <f t="shared" si="3"/>
        <v>9.6082779009607003E-3</v>
      </c>
      <c r="AA15" s="9">
        <f t="shared" si="4"/>
        <v>3.770739064856712E-3</v>
      </c>
      <c r="AB15" s="9">
        <f t="shared" si="5"/>
        <v>1.6906170752324838E-3</v>
      </c>
      <c r="AC15" s="9">
        <f t="shared" si="6"/>
        <v>-7.2150072150068052E-4</v>
      </c>
      <c r="AD15" s="9">
        <f t="shared" si="7"/>
        <v>2.23214285714273E-3</v>
      </c>
      <c r="AE15" s="9">
        <f t="shared" si="8"/>
        <v>-2.9069767441860881E-3</v>
      </c>
    </row>
    <row r="16" spans="2:40" x14ac:dyDescent="0.35">
      <c r="B16" s="15" t="s">
        <v>34</v>
      </c>
      <c r="C16" s="15">
        <v>2018</v>
      </c>
      <c r="D16" s="15" t="s">
        <v>31</v>
      </c>
      <c r="E16" s="26">
        <v>136</v>
      </c>
      <c r="F16" s="15">
        <v>144.19999999999999</v>
      </c>
      <c r="G16" s="15">
        <v>143.69999999999999</v>
      </c>
      <c r="H16" s="5">
        <v>141.1</v>
      </c>
      <c r="I16" s="5">
        <v>120.7</v>
      </c>
      <c r="J16" s="5">
        <v>141.30000000000001</v>
      </c>
      <c r="K16" s="5">
        <v>151.6</v>
      </c>
      <c r="L16" s="5">
        <v>127.3</v>
      </c>
      <c r="M16" s="5">
        <v>137.5</v>
      </c>
      <c r="N16" s="27">
        <f t="shared" si="1"/>
        <v>1243.4000000000001</v>
      </c>
      <c r="O16" s="15">
        <v>136.6</v>
      </c>
      <c r="P16" s="15">
        <v>133.30000000000001</v>
      </c>
      <c r="Q16" s="15">
        <v>119.3</v>
      </c>
      <c r="R16" s="15">
        <v>139</v>
      </c>
      <c r="S16" s="15">
        <v>134.9</v>
      </c>
      <c r="T16" s="15">
        <v>136.9</v>
      </c>
      <c r="V16" s="15">
        <v>2018</v>
      </c>
      <c r="W16" s="15" t="s">
        <v>31</v>
      </c>
      <c r="X16" s="15" t="str">
        <f t="shared" si="0"/>
        <v>January 2018</v>
      </c>
      <c r="Y16" s="9">
        <f t="shared" si="2"/>
        <v>-9.4008922880813653E-3</v>
      </c>
      <c r="Z16" s="9">
        <f t="shared" si="3"/>
        <v>0</v>
      </c>
      <c r="AA16" s="9">
        <f t="shared" si="4"/>
        <v>1.5026296018032838E-3</v>
      </c>
      <c r="AB16" s="9">
        <f t="shared" si="5"/>
        <v>6.7510548523206509E-3</v>
      </c>
      <c r="AC16" s="9">
        <f t="shared" si="6"/>
        <v>3.6101083032490976E-3</v>
      </c>
      <c r="AD16" s="9">
        <f t="shared" si="7"/>
        <v>1.4847809948033933E-3</v>
      </c>
      <c r="AE16" s="9">
        <f t="shared" si="8"/>
        <v>-2.1865889212826749E-3</v>
      </c>
    </row>
    <row r="17" spans="2:31" x14ac:dyDescent="0.35">
      <c r="B17" s="15" t="s">
        <v>34</v>
      </c>
      <c r="C17" s="15">
        <v>2018</v>
      </c>
      <c r="D17" s="15" t="s">
        <v>35</v>
      </c>
      <c r="E17" s="26">
        <v>135.9</v>
      </c>
      <c r="F17" s="15">
        <v>143.5</v>
      </c>
      <c r="G17" s="15">
        <v>140.30000000000001</v>
      </c>
      <c r="H17" s="5">
        <v>140.9</v>
      </c>
      <c r="I17" s="5">
        <v>120.4</v>
      </c>
      <c r="J17" s="5">
        <v>142.9</v>
      </c>
      <c r="K17" s="5">
        <v>140.5</v>
      </c>
      <c r="L17" s="5">
        <v>125.8</v>
      </c>
      <c r="M17" s="5">
        <v>137.30000000000001</v>
      </c>
      <c r="N17" s="27">
        <f t="shared" si="1"/>
        <v>1227.5</v>
      </c>
      <c r="O17" s="15">
        <v>136.69999999999999</v>
      </c>
      <c r="P17" s="15">
        <v>133.80000000000001</v>
      </c>
      <c r="Q17" s="15">
        <v>120.2</v>
      </c>
      <c r="R17" s="15">
        <v>139</v>
      </c>
      <c r="S17" s="15">
        <v>135.19999999999999</v>
      </c>
      <c r="T17" s="15">
        <v>136.4</v>
      </c>
      <c r="V17" s="15">
        <v>2018</v>
      </c>
      <c r="W17" s="15" t="s">
        <v>35</v>
      </c>
      <c r="X17" s="15" t="str">
        <f t="shared" si="0"/>
        <v>February 2018</v>
      </c>
      <c r="Y17" s="9">
        <f t="shared" si="2"/>
        <v>-1.2787518095544547E-2</v>
      </c>
      <c r="Z17" s="9">
        <f t="shared" si="3"/>
        <v>7.3206442166906527E-4</v>
      </c>
      <c r="AA17" s="9">
        <f t="shared" si="4"/>
        <v>3.7509377344336079E-3</v>
      </c>
      <c r="AB17" s="9">
        <f t="shared" si="5"/>
        <v>7.5440067057837863E-3</v>
      </c>
      <c r="AC17" s="9">
        <f t="shared" si="6"/>
        <v>0</v>
      </c>
      <c r="AD17" s="9">
        <f t="shared" si="7"/>
        <v>2.2238695329872714E-3</v>
      </c>
      <c r="AE17" s="9">
        <f t="shared" si="8"/>
        <v>-3.6523009495982466E-3</v>
      </c>
    </row>
    <row r="18" spans="2:31" x14ac:dyDescent="0.35">
      <c r="B18" s="15" t="s">
        <v>34</v>
      </c>
      <c r="C18" s="15">
        <v>2018</v>
      </c>
      <c r="D18" s="15" t="s">
        <v>36</v>
      </c>
      <c r="E18" s="26">
        <v>136.19999999999999</v>
      </c>
      <c r="F18" s="15">
        <v>143.6</v>
      </c>
      <c r="G18" s="15">
        <v>138.30000000000001</v>
      </c>
      <c r="H18" s="5">
        <v>141.19999999999999</v>
      </c>
      <c r="I18" s="5">
        <v>120.7</v>
      </c>
      <c r="J18" s="5">
        <v>146.19999999999999</v>
      </c>
      <c r="K18" s="5">
        <v>134.6</v>
      </c>
      <c r="L18" s="5">
        <v>124.6</v>
      </c>
      <c r="M18" s="5">
        <v>137.80000000000001</v>
      </c>
      <c r="N18" s="27">
        <f t="shared" si="1"/>
        <v>1223.2</v>
      </c>
      <c r="O18" s="15">
        <v>136.5</v>
      </c>
      <c r="P18" s="15">
        <v>134.30000000000001</v>
      </c>
      <c r="Q18" s="15">
        <v>121</v>
      </c>
      <c r="R18" s="15">
        <v>139.80000000000001</v>
      </c>
      <c r="S18" s="15">
        <v>135.6</v>
      </c>
      <c r="T18" s="15">
        <v>136.5</v>
      </c>
      <c r="V18" s="15">
        <v>2018</v>
      </c>
      <c r="W18" s="15" t="s">
        <v>36</v>
      </c>
      <c r="X18" s="15" t="str">
        <f t="shared" si="0"/>
        <v>March 2018</v>
      </c>
      <c r="Y18" s="9">
        <f t="shared" si="2"/>
        <v>-3.5030549898166638E-3</v>
      </c>
      <c r="Z18" s="9">
        <f t="shared" si="3"/>
        <v>-1.4630577907826529E-3</v>
      </c>
      <c r="AA18" s="9">
        <f t="shared" si="4"/>
        <v>3.7369207772795215E-3</v>
      </c>
      <c r="AB18" s="9">
        <f t="shared" si="5"/>
        <v>6.6555740432612072E-3</v>
      </c>
      <c r="AC18" s="9">
        <f t="shared" si="6"/>
        <v>5.7553956834533191E-3</v>
      </c>
      <c r="AD18" s="9">
        <f t="shared" si="7"/>
        <v>2.9585798816568472E-3</v>
      </c>
      <c r="AE18" s="9">
        <f t="shared" si="8"/>
        <v>7.3313782991198172E-4</v>
      </c>
    </row>
    <row r="19" spans="2:31" x14ac:dyDescent="0.35">
      <c r="B19" s="15" t="s">
        <v>34</v>
      </c>
      <c r="C19" s="15">
        <v>2018</v>
      </c>
      <c r="D19" s="15" t="s">
        <v>37</v>
      </c>
      <c r="E19" s="26">
        <v>136.4</v>
      </c>
      <c r="F19" s="15">
        <v>144.4</v>
      </c>
      <c r="G19" s="15">
        <v>133.9</v>
      </c>
      <c r="H19" s="5">
        <v>141.6</v>
      </c>
      <c r="I19" s="5">
        <v>121</v>
      </c>
      <c r="J19" s="5">
        <v>153.5</v>
      </c>
      <c r="K19" s="5">
        <v>132.6</v>
      </c>
      <c r="L19" s="5">
        <v>123.5</v>
      </c>
      <c r="M19" s="5">
        <v>138.19999999999999</v>
      </c>
      <c r="N19" s="27">
        <f t="shared" si="1"/>
        <v>1225.1000000000001</v>
      </c>
      <c r="O19" s="15">
        <v>136.5</v>
      </c>
      <c r="P19" s="15">
        <v>135.19999999999999</v>
      </c>
      <c r="Q19" s="15">
        <v>121.9</v>
      </c>
      <c r="R19" s="15">
        <v>141.4</v>
      </c>
      <c r="S19" s="15">
        <v>136.6</v>
      </c>
      <c r="T19" s="15">
        <v>137.1</v>
      </c>
      <c r="V19" s="15">
        <v>2018</v>
      </c>
      <c r="W19" s="15" t="s">
        <v>37</v>
      </c>
      <c r="X19" s="15" t="str">
        <f t="shared" si="0"/>
        <v>April 2018</v>
      </c>
      <c r="Y19" s="9">
        <f t="shared" si="2"/>
        <v>1.5533028122956924E-3</v>
      </c>
      <c r="Z19" s="9">
        <f t="shared" si="3"/>
        <v>0</v>
      </c>
      <c r="AA19" s="9">
        <f t="shared" si="4"/>
        <v>6.7014147431122646E-3</v>
      </c>
      <c r="AB19" s="9">
        <f t="shared" si="5"/>
        <v>7.4380165289256667E-3</v>
      </c>
      <c r="AC19" s="9">
        <f t="shared" si="6"/>
        <v>1.144492131616591E-2</v>
      </c>
      <c r="AD19" s="9">
        <f t="shared" si="7"/>
        <v>7.3746312684365781E-3</v>
      </c>
      <c r="AE19" s="9">
        <f t="shared" si="8"/>
        <v>4.395604395604354E-3</v>
      </c>
    </row>
    <row r="20" spans="2:31" x14ac:dyDescent="0.35">
      <c r="B20" s="15" t="s">
        <v>34</v>
      </c>
      <c r="C20" s="15">
        <v>2018</v>
      </c>
      <c r="D20" s="15" t="s">
        <v>38</v>
      </c>
      <c r="E20" s="26">
        <v>136.6</v>
      </c>
      <c r="F20" s="15">
        <v>146.6</v>
      </c>
      <c r="G20" s="15">
        <v>133.6</v>
      </c>
      <c r="H20" s="5">
        <v>142.1</v>
      </c>
      <c r="I20" s="5">
        <v>121</v>
      </c>
      <c r="J20" s="5">
        <v>154.6</v>
      </c>
      <c r="K20" s="5">
        <v>135.6</v>
      </c>
      <c r="L20" s="5">
        <v>122.3</v>
      </c>
      <c r="M20" s="5">
        <v>138.1</v>
      </c>
      <c r="N20" s="27">
        <f t="shared" si="1"/>
        <v>1230.5</v>
      </c>
      <c r="O20" s="15">
        <v>136.9</v>
      </c>
      <c r="P20" s="15">
        <v>136</v>
      </c>
      <c r="Q20" s="15">
        <v>122.9</v>
      </c>
      <c r="R20" s="15">
        <v>142.1</v>
      </c>
      <c r="S20" s="15">
        <v>137.4</v>
      </c>
      <c r="T20" s="15">
        <v>137.80000000000001</v>
      </c>
      <c r="V20" s="15">
        <v>2018</v>
      </c>
      <c r="W20" s="15" t="s">
        <v>38</v>
      </c>
      <c r="X20" s="15" t="str">
        <f t="shared" si="0"/>
        <v>May 2018</v>
      </c>
      <c r="Y20" s="9">
        <f t="shared" si="2"/>
        <v>4.4078034446166543E-3</v>
      </c>
      <c r="Z20" s="9">
        <f t="shared" si="3"/>
        <v>2.930402930402972E-3</v>
      </c>
      <c r="AA20" s="9">
        <f t="shared" si="4"/>
        <v>5.9171597633136943E-3</v>
      </c>
      <c r="AB20" s="9">
        <f t="shared" si="5"/>
        <v>8.2034454470877767E-3</v>
      </c>
      <c r="AC20" s="9">
        <f t="shared" si="6"/>
        <v>4.9504950495048699E-3</v>
      </c>
      <c r="AD20" s="9">
        <f t="shared" si="7"/>
        <v>5.8565153733529385E-3</v>
      </c>
      <c r="AE20" s="9">
        <f t="shared" si="8"/>
        <v>5.105762217359716E-3</v>
      </c>
    </row>
    <row r="21" spans="2:31" x14ac:dyDescent="0.35">
      <c r="B21" s="15" t="s">
        <v>34</v>
      </c>
      <c r="C21" s="15">
        <v>2018</v>
      </c>
      <c r="D21" s="15" t="s">
        <v>39</v>
      </c>
      <c r="E21" s="26">
        <v>136.9</v>
      </c>
      <c r="F21" s="15">
        <v>148.69999999999999</v>
      </c>
      <c r="G21" s="15">
        <v>135.6</v>
      </c>
      <c r="H21" s="5">
        <v>142.30000000000001</v>
      </c>
      <c r="I21" s="5">
        <v>121.3</v>
      </c>
      <c r="J21" s="5">
        <v>153.19999999999999</v>
      </c>
      <c r="K21" s="5">
        <v>143.69999999999999</v>
      </c>
      <c r="L21" s="5">
        <v>121.4</v>
      </c>
      <c r="M21" s="5">
        <v>138.4</v>
      </c>
      <c r="N21" s="27">
        <f t="shared" si="1"/>
        <v>1241.5000000000002</v>
      </c>
      <c r="O21" s="15">
        <v>138.1</v>
      </c>
      <c r="P21" s="15">
        <v>136.19999999999999</v>
      </c>
      <c r="Q21" s="15">
        <v>123.7</v>
      </c>
      <c r="R21" s="15">
        <v>142.80000000000001</v>
      </c>
      <c r="S21" s="15">
        <v>137.9</v>
      </c>
      <c r="T21" s="15">
        <v>138.5</v>
      </c>
      <c r="V21" s="15">
        <v>2018</v>
      </c>
      <c r="W21" s="15" t="s">
        <v>39</v>
      </c>
      <c r="X21" s="15" t="str">
        <f t="shared" si="0"/>
        <v>June 2018</v>
      </c>
      <c r="Y21" s="9">
        <f t="shared" si="2"/>
        <v>8.939455505892098E-3</v>
      </c>
      <c r="Z21" s="9">
        <f t="shared" si="3"/>
        <v>8.765522279035709E-3</v>
      </c>
      <c r="AA21" s="9">
        <f t="shared" si="4"/>
        <v>1.4705882352940341E-3</v>
      </c>
      <c r="AB21" s="9">
        <f t="shared" si="5"/>
        <v>6.50935720097638E-3</v>
      </c>
      <c r="AC21" s="9">
        <f t="shared" si="6"/>
        <v>4.9261083743843571E-3</v>
      </c>
      <c r="AD21" s="9">
        <f t="shared" si="7"/>
        <v>3.6390101892285298E-3</v>
      </c>
      <c r="AE21" s="9">
        <f t="shared" si="8"/>
        <v>5.0798258345427331E-3</v>
      </c>
    </row>
    <row r="22" spans="2:31" x14ac:dyDescent="0.35">
      <c r="B22" s="15" t="s">
        <v>34</v>
      </c>
      <c r="C22" s="15">
        <v>2018</v>
      </c>
      <c r="D22" s="15" t="s">
        <v>40</v>
      </c>
      <c r="E22" s="26">
        <v>137.5</v>
      </c>
      <c r="F22" s="15">
        <v>149.1</v>
      </c>
      <c r="G22" s="15">
        <v>139.19999999999999</v>
      </c>
      <c r="H22" s="5">
        <v>142.5</v>
      </c>
      <c r="I22" s="5">
        <v>121.4</v>
      </c>
      <c r="J22" s="5">
        <v>151.6</v>
      </c>
      <c r="K22" s="5">
        <v>155.9</v>
      </c>
      <c r="L22" s="5">
        <v>121.7</v>
      </c>
      <c r="M22" s="5">
        <v>138.9</v>
      </c>
      <c r="N22" s="27">
        <f t="shared" si="1"/>
        <v>1257.8</v>
      </c>
      <c r="O22" s="15">
        <v>139.69999999999999</v>
      </c>
      <c r="P22" s="15">
        <v>137</v>
      </c>
      <c r="Q22" s="15">
        <v>123.6</v>
      </c>
      <c r="R22" s="15">
        <v>144.69999999999999</v>
      </c>
      <c r="S22" s="15">
        <v>138.6</v>
      </c>
      <c r="T22" s="15">
        <v>139.80000000000001</v>
      </c>
      <c r="V22" s="15">
        <v>2018</v>
      </c>
      <c r="W22" s="15" t="s">
        <v>40</v>
      </c>
      <c r="X22" s="15" t="str">
        <f t="shared" si="0"/>
        <v>July 2018</v>
      </c>
      <c r="Y22" s="9">
        <f t="shared" si="2"/>
        <v>1.3129279097865263E-2</v>
      </c>
      <c r="Z22" s="9">
        <f t="shared" si="3"/>
        <v>1.1585807385952168E-2</v>
      </c>
      <c r="AA22" s="9">
        <f t="shared" si="4"/>
        <v>5.8737151248165302E-3</v>
      </c>
      <c r="AB22" s="9">
        <f t="shared" si="5"/>
        <v>-8.0840743734849252E-4</v>
      </c>
      <c r="AC22" s="9">
        <f t="shared" si="6"/>
        <v>1.3305322128851381E-2</v>
      </c>
      <c r="AD22" s="9">
        <f t="shared" si="7"/>
        <v>5.0761421319796126E-3</v>
      </c>
      <c r="AE22" s="9">
        <f t="shared" si="8"/>
        <v>9.3862815884477348E-3</v>
      </c>
    </row>
    <row r="23" spans="2:31" x14ac:dyDescent="0.35">
      <c r="B23" s="15" t="s">
        <v>34</v>
      </c>
      <c r="C23" s="15">
        <v>2018</v>
      </c>
      <c r="D23" s="15" t="s">
        <v>41</v>
      </c>
      <c r="E23" s="26">
        <v>138.30000000000001</v>
      </c>
      <c r="F23" s="15">
        <v>148</v>
      </c>
      <c r="G23" s="15">
        <v>138.1</v>
      </c>
      <c r="H23" s="5">
        <v>142.6</v>
      </c>
      <c r="I23" s="5">
        <v>122.2</v>
      </c>
      <c r="J23" s="5">
        <v>150.6</v>
      </c>
      <c r="K23" s="5">
        <v>156.6</v>
      </c>
      <c r="L23" s="5">
        <v>122.4</v>
      </c>
      <c r="M23" s="5">
        <v>139.4</v>
      </c>
      <c r="N23" s="27">
        <f t="shared" si="1"/>
        <v>1258.2000000000003</v>
      </c>
      <c r="O23" s="15">
        <v>140.9</v>
      </c>
      <c r="P23" s="15">
        <v>137.69999999999999</v>
      </c>
      <c r="Q23" s="15">
        <v>124.3</v>
      </c>
      <c r="R23" s="15">
        <v>146</v>
      </c>
      <c r="S23" s="15">
        <v>139.4</v>
      </c>
      <c r="T23" s="15">
        <v>140.4</v>
      </c>
      <c r="V23" s="15">
        <v>2018</v>
      </c>
      <c r="W23" s="15" t="s">
        <v>41</v>
      </c>
      <c r="X23" s="15" t="str">
        <f t="shared" si="0"/>
        <v>August 2018</v>
      </c>
      <c r="Y23" s="9">
        <f t="shared" si="2"/>
        <v>3.1801558276380851E-4</v>
      </c>
      <c r="Z23" s="9">
        <f t="shared" si="3"/>
        <v>8.5898353614890267E-3</v>
      </c>
      <c r="AA23" s="9">
        <f t="shared" si="4"/>
        <v>5.1094890510948072E-3</v>
      </c>
      <c r="AB23" s="9">
        <f t="shared" si="5"/>
        <v>5.663430420711997E-3</v>
      </c>
      <c r="AC23" s="9">
        <f t="shared" si="6"/>
        <v>8.9841050449206046E-3</v>
      </c>
      <c r="AD23" s="9">
        <f t="shared" si="7"/>
        <v>5.7720057720058544E-3</v>
      </c>
      <c r="AE23" s="9">
        <f t="shared" si="8"/>
        <v>4.291845493562191E-3</v>
      </c>
    </row>
    <row r="24" spans="2:31" x14ac:dyDescent="0.35">
      <c r="B24" s="15" t="s">
        <v>34</v>
      </c>
      <c r="C24" s="15">
        <v>2018</v>
      </c>
      <c r="D24" s="15" t="s">
        <v>42</v>
      </c>
      <c r="E24" s="26">
        <v>138.6</v>
      </c>
      <c r="F24" s="15">
        <v>145.80000000000001</v>
      </c>
      <c r="G24" s="15">
        <v>135.1</v>
      </c>
      <c r="H24" s="5">
        <v>142.9</v>
      </c>
      <c r="I24" s="5">
        <v>122.1</v>
      </c>
      <c r="J24" s="5">
        <v>145.4</v>
      </c>
      <c r="K24" s="5">
        <v>150</v>
      </c>
      <c r="L24" s="5">
        <v>121.4</v>
      </c>
      <c r="M24" s="5">
        <v>139.5</v>
      </c>
      <c r="N24" s="27">
        <f t="shared" si="1"/>
        <v>1240.8</v>
      </c>
      <c r="O24" s="15">
        <v>142.30000000000001</v>
      </c>
      <c r="P24" s="15">
        <v>138.4</v>
      </c>
      <c r="Q24" s="15">
        <v>126</v>
      </c>
      <c r="R24" s="15">
        <v>146.19999999999999</v>
      </c>
      <c r="S24" s="15">
        <v>139.69999999999999</v>
      </c>
      <c r="T24" s="15">
        <v>140.19999999999999</v>
      </c>
      <c r="V24" s="15">
        <v>2018</v>
      </c>
      <c r="W24" s="15" t="s">
        <v>42</v>
      </c>
      <c r="X24" s="15" t="str">
        <f t="shared" si="0"/>
        <v>September 2018</v>
      </c>
      <c r="Y24" s="9">
        <f t="shared" si="2"/>
        <v>-1.3829279923700774E-2</v>
      </c>
      <c r="Z24" s="9">
        <f t="shared" si="3"/>
        <v>9.9361249112846391E-3</v>
      </c>
      <c r="AA24" s="9">
        <f t="shared" si="4"/>
        <v>5.0835148874365807E-3</v>
      </c>
      <c r="AB24" s="9">
        <f t="shared" si="5"/>
        <v>1.3676588897827859E-2</v>
      </c>
      <c r="AC24" s="9">
        <f t="shared" si="6"/>
        <v>1.3698630136985523E-3</v>
      </c>
      <c r="AD24" s="9">
        <f t="shared" si="7"/>
        <v>2.1520803443327327E-3</v>
      </c>
      <c r="AE24" s="9">
        <f t="shared" si="8"/>
        <v>-1.424501424501546E-3</v>
      </c>
    </row>
    <row r="25" spans="2:31" x14ac:dyDescent="0.35">
      <c r="B25" s="15" t="s">
        <v>34</v>
      </c>
      <c r="C25" s="15">
        <v>2018</v>
      </c>
      <c r="D25" s="15" t="s">
        <v>43</v>
      </c>
      <c r="E25" s="26">
        <v>137.4</v>
      </c>
      <c r="F25" s="15">
        <v>149.5</v>
      </c>
      <c r="G25" s="15">
        <v>137.30000000000001</v>
      </c>
      <c r="H25" s="5">
        <v>141.9</v>
      </c>
      <c r="I25" s="5">
        <v>121.1</v>
      </c>
      <c r="J25" s="5">
        <v>142.5</v>
      </c>
      <c r="K25" s="5">
        <v>146.69999999999999</v>
      </c>
      <c r="L25" s="5">
        <v>119.1</v>
      </c>
      <c r="M25" s="5">
        <v>141</v>
      </c>
      <c r="N25" s="27">
        <f t="shared" si="1"/>
        <v>1236.5</v>
      </c>
      <c r="O25" s="15">
        <v>145.30000000000001</v>
      </c>
      <c r="P25" s="15">
        <v>142.1</v>
      </c>
      <c r="Q25" s="15">
        <v>125.5</v>
      </c>
      <c r="R25" s="15">
        <v>147.80000000000001</v>
      </c>
      <c r="S25" s="15">
        <v>142.19999999999999</v>
      </c>
      <c r="T25" s="15">
        <v>140.80000000000001</v>
      </c>
      <c r="V25" s="15">
        <v>2018</v>
      </c>
      <c r="W25" s="15" t="s">
        <v>43</v>
      </c>
      <c r="X25" s="15" t="str">
        <f t="shared" si="0"/>
        <v>October 2018</v>
      </c>
      <c r="Y25" s="9">
        <f t="shared" si="2"/>
        <v>-3.4655061250805567E-3</v>
      </c>
      <c r="Z25" s="9">
        <f t="shared" si="3"/>
        <v>2.1082220660576245E-2</v>
      </c>
      <c r="AA25" s="9">
        <f t="shared" si="4"/>
        <v>2.6734104046242692E-2</v>
      </c>
      <c r="AB25" s="9">
        <f t="shared" si="5"/>
        <v>-3.968253968253968E-3</v>
      </c>
      <c r="AC25" s="9">
        <f t="shared" si="6"/>
        <v>1.0943912448700566E-2</v>
      </c>
      <c r="AD25" s="9">
        <f t="shared" si="7"/>
        <v>1.789549033643522E-2</v>
      </c>
      <c r="AE25" s="9">
        <f t="shared" si="8"/>
        <v>4.2796005706135717E-3</v>
      </c>
    </row>
    <row r="26" spans="2:31" x14ac:dyDescent="0.35">
      <c r="B26" s="15" t="s">
        <v>34</v>
      </c>
      <c r="C26" s="15">
        <v>2018</v>
      </c>
      <c r="D26" s="15" t="s">
        <v>45</v>
      </c>
      <c r="E26" s="26">
        <v>137.4</v>
      </c>
      <c r="F26" s="15">
        <v>149.19999999999999</v>
      </c>
      <c r="G26" s="15">
        <v>137.1</v>
      </c>
      <c r="H26" s="5">
        <v>141.80000000000001</v>
      </c>
      <c r="I26" s="5">
        <v>121.1</v>
      </c>
      <c r="J26" s="5">
        <v>142.80000000000001</v>
      </c>
      <c r="K26" s="5">
        <v>146.69999999999999</v>
      </c>
      <c r="L26" s="5">
        <v>119.1</v>
      </c>
      <c r="M26" s="5">
        <v>140.9</v>
      </c>
      <c r="N26" s="27">
        <f t="shared" si="1"/>
        <v>1236.1000000000001</v>
      </c>
      <c r="O26" s="15">
        <v>145.1</v>
      </c>
      <c r="P26" s="15">
        <v>142.1</v>
      </c>
      <c r="Q26" s="15">
        <v>125.5</v>
      </c>
      <c r="R26" s="15">
        <v>147.80000000000001</v>
      </c>
      <c r="S26" s="15">
        <v>142.19999999999999</v>
      </c>
      <c r="T26" s="15">
        <v>140.80000000000001</v>
      </c>
      <c r="V26" s="15">
        <v>2018</v>
      </c>
      <c r="W26" s="15" t="s">
        <v>45</v>
      </c>
      <c r="X26" s="15" t="str">
        <f t="shared" si="0"/>
        <v>November 2018</v>
      </c>
      <c r="Y26" s="9">
        <f t="shared" si="2"/>
        <v>-3.2349373230882621E-4</v>
      </c>
      <c r="Z26" s="9">
        <f t="shared" si="3"/>
        <v>-1.3764624913972267E-3</v>
      </c>
      <c r="AA26" s="9">
        <f t="shared" si="4"/>
        <v>0</v>
      </c>
      <c r="AB26" s="9">
        <f t="shared" si="5"/>
        <v>0</v>
      </c>
      <c r="AC26" s="9">
        <f t="shared" si="6"/>
        <v>0</v>
      </c>
      <c r="AD26" s="9">
        <f t="shared" si="7"/>
        <v>0</v>
      </c>
      <c r="AE26" s="9">
        <f t="shared" si="8"/>
        <v>0</v>
      </c>
    </row>
    <row r="27" spans="2:31" x14ac:dyDescent="0.35">
      <c r="B27" s="15" t="s">
        <v>34</v>
      </c>
      <c r="C27" s="15">
        <v>2018</v>
      </c>
      <c r="D27" s="15" t="s">
        <v>46</v>
      </c>
      <c r="E27" s="26">
        <v>137.5</v>
      </c>
      <c r="F27" s="15">
        <v>150.5</v>
      </c>
      <c r="G27" s="15">
        <v>138.80000000000001</v>
      </c>
      <c r="H27" s="5">
        <v>142.1</v>
      </c>
      <c r="I27" s="5">
        <v>122</v>
      </c>
      <c r="J27" s="5">
        <v>139.4</v>
      </c>
      <c r="K27" s="5">
        <v>135.19999999999999</v>
      </c>
      <c r="L27" s="5">
        <v>119.8</v>
      </c>
      <c r="M27" s="5">
        <v>140.6</v>
      </c>
      <c r="N27" s="27">
        <f t="shared" si="1"/>
        <v>1225.8999999999999</v>
      </c>
      <c r="O27" s="15">
        <v>142.69999999999999</v>
      </c>
      <c r="P27" s="15">
        <v>144.9</v>
      </c>
      <c r="Q27" s="15">
        <v>123.6</v>
      </c>
      <c r="R27" s="15">
        <v>150.1</v>
      </c>
      <c r="S27" s="15">
        <v>143.19999999999999</v>
      </c>
      <c r="T27" s="15">
        <v>140.1</v>
      </c>
      <c r="V27" s="15">
        <v>2018</v>
      </c>
      <c r="W27" s="15" t="s">
        <v>46</v>
      </c>
      <c r="X27" s="15" t="str">
        <f t="shared" si="0"/>
        <v>December 2018</v>
      </c>
      <c r="Y27" s="9">
        <f t="shared" si="2"/>
        <v>-8.2517595663783444E-3</v>
      </c>
      <c r="Z27" s="9">
        <f t="shared" si="3"/>
        <v>-1.6540317022742976E-2</v>
      </c>
      <c r="AA27" s="9">
        <f t="shared" si="4"/>
        <v>1.9704433497537026E-2</v>
      </c>
      <c r="AB27" s="9">
        <f t="shared" si="5"/>
        <v>-1.5139442231075743E-2</v>
      </c>
      <c r="AC27" s="9">
        <f t="shared" si="6"/>
        <v>1.5561569688768489E-2</v>
      </c>
      <c r="AD27" s="9">
        <f t="shared" si="7"/>
        <v>7.0323488045007038E-3</v>
      </c>
      <c r="AE27" s="9">
        <f t="shared" si="8"/>
        <v>-4.9715909090910296E-3</v>
      </c>
    </row>
    <row r="28" spans="2:31" x14ac:dyDescent="0.35">
      <c r="B28" s="15" t="s">
        <v>34</v>
      </c>
      <c r="C28" s="15">
        <v>2019</v>
      </c>
      <c r="D28" s="15" t="s">
        <v>31</v>
      </c>
      <c r="E28" s="26">
        <v>137.1</v>
      </c>
      <c r="F28" s="15">
        <v>151.4</v>
      </c>
      <c r="G28" s="15">
        <v>140.19999999999999</v>
      </c>
      <c r="H28" s="5">
        <v>142.1</v>
      </c>
      <c r="I28" s="5">
        <v>121.8</v>
      </c>
      <c r="J28" s="5">
        <v>135.4</v>
      </c>
      <c r="K28" s="5">
        <v>131.30000000000001</v>
      </c>
      <c r="L28" s="5">
        <v>120.3</v>
      </c>
      <c r="M28" s="5">
        <v>139.4</v>
      </c>
      <c r="N28" s="27">
        <f t="shared" si="1"/>
        <v>1219</v>
      </c>
      <c r="O28" s="15">
        <v>139.5</v>
      </c>
      <c r="P28" s="15">
        <v>145.1</v>
      </c>
      <c r="Q28" s="15">
        <v>123.3</v>
      </c>
      <c r="R28" s="15">
        <v>150.19999999999999</v>
      </c>
      <c r="S28" s="15">
        <v>143.6</v>
      </c>
      <c r="T28" s="15">
        <v>139.6</v>
      </c>
      <c r="V28" s="15">
        <v>2019</v>
      </c>
      <c r="W28" s="15" t="s">
        <v>31</v>
      </c>
      <c r="X28" s="15" t="str">
        <f t="shared" si="0"/>
        <v>January 2019</v>
      </c>
      <c r="Y28" s="9">
        <f t="shared" si="2"/>
        <v>-5.6285178236396638E-3</v>
      </c>
      <c r="Z28" s="9">
        <f t="shared" si="3"/>
        <v>-2.2424667133847154E-2</v>
      </c>
      <c r="AA28" s="9">
        <f t="shared" si="4"/>
        <v>1.3802622498273887E-3</v>
      </c>
      <c r="AB28" s="9">
        <f t="shared" si="5"/>
        <v>-2.4271844660193947E-3</v>
      </c>
      <c r="AC28" s="9">
        <f t="shared" si="6"/>
        <v>6.6622251832108143E-4</v>
      </c>
      <c r="AD28" s="9">
        <f t="shared" si="7"/>
        <v>2.7932960893855148E-3</v>
      </c>
      <c r="AE28" s="9">
        <f t="shared" si="8"/>
        <v>-3.5688793718772309E-3</v>
      </c>
    </row>
    <row r="29" spans="2:31" x14ac:dyDescent="0.35">
      <c r="B29" s="15" t="s">
        <v>34</v>
      </c>
      <c r="C29" s="15">
        <v>2019</v>
      </c>
      <c r="D29" s="15" t="s">
        <v>35</v>
      </c>
      <c r="E29" s="26">
        <v>137.6</v>
      </c>
      <c r="F29" s="15">
        <v>152</v>
      </c>
      <c r="G29" s="15">
        <v>141.5</v>
      </c>
      <c r="H29" s="5">
        <v>142.19999999999999</v>
      </c>
      <c r="I29" s="5">
        <v>122</v>
      </c>
      <c r="J29" s="5">
        <v>136.4</v>
      </c>
      <c r="K29" s="5">
        <v>129.69999999999999</v>
      </c>
      <c r="L29" s="5">
        <v>121</v>
      </c>
      <c r="M29" s="5">
        <v>139.69999999999999</v>
      </c>
      <c r="N29" s="27">
        <f t="shared" si="1"/>
        <v>1222.0999999999999</v>
      </c>
      <c r="O29" s="15">
        <v>138.4</v>
      </c>
      <c r="P29" s="15">
        <v>145.6</v>
      </c>
      <c r="Q29" s="15">
        <v>123.9</v>
      </c>
      <c r="R29" s="15">
        <v>150.30000000000001</v>
      </c>
      <c r="S29" s="15">
        <v>143.69999999999999</v>
      </c>
      <c r="T29" s="15">
        <v>139.9</v>
      </c>
      <c r="V29" s="15">
        <v>2019</v>
      </c>
      <c r="W29" s="15" t="s">
        <v>35</v>
      </c>
      <c r="X29" s="15" t="str">
        <f t="shared" si="0"/>
        <v>February 2019</v>
      </c>
      <c r="Y29" s="9">
        <f t="shared" si="2"/>
        <v>2.543068088597136E-3</v>
      </c>
      <c r="Z29" s="9">
        <f t="shared" si="3"/>
        <v>-7.8853046594981671E-3</v>
      </c>
      <c r="AA29" s="9">
        <f t="shared" si="4"/>
        <v>3.4458993797381117E-3</v>
      </c>
      <c r="AB29" s="9">
        <f t="shared" si="5"/>
        <v>4.86618004866187E-3</v>
      </c>
      <c r="AC29" s="9">
        <f t="shared" si="6"/>
        <v>6.6577896138497164E-4</v>
      </c>
      <c r="AD29" s="9">
        <f t="shared" si="7"/>
        <v>6.9637883008352589E-4</v>
      </c>
      <c r="AE29" s="9">
        <f t="shared" si="8"/>
        <v>2.1489971346705687E-3</v>
      </c>
    </row>
    <row r="30" spans="2:31" x14ac:dyDescent="0.35">
      <c r="B30" s="15" t="s">
        <v>34</v>
      </c>
      <c r="C30" s="15">
        <v>2019</v>
      </c>
      <c r="D30" s="15" t="s">
        <v>36</v>
      </c>
      <c r="E30" s="26">
        <v>137.80000000000001</v>
      </c>
      <c r="F30" s="15">
        <v>153</v>
      </c>
      <c r="G30" s="15">
        <v>140.30000000000001</v>
      </c>
      <c r="H30" s="5">
        <v>142.30000000000001</v>
      </c>
      <c r="I30" s="5">
        <v>122</v>
      </c>
      <c r="J30" s="5">
        <v>137.6</v>
      </c>
      <c r="K30" s="5">
        <v>132.6</v>
      </c>
      <c r="L30" s="5">
        <v>121.8</v>
      </c>
      <c r="M30" s="5">
        <v>139.5</v>
      </c>
      <c r="N30" s="27">
        <f t="shared" si="1"/>
        <v>1226.9000000000001</v>
      </c>
      <c r="O30" s="15">
        <v>139.69999999999999</v>
      </c>
      <c r="P30" s="15">
        <v>146.19999999999999</v>
      </c>
      <c r="Q30" s="15">
        <v>124.6</v>
      </c>
      <c r="R30" s="15">
        <v>150.30000000000001</v>
      </c>
      <c r="S30" s="15">
        <v>143.80000000000001</v>
      </c>
      <c r="T30" s="15">
        <v>140.4</v>
      </c>
      <c r="V30" s="15">
        <v>2019</v>
      </c>
      <c r="W30" s="15" t="s">
        <v>36</v>
      </c>
      <c r="X30" s="15" t="str">
        <f t="shared" si="0"/>
        <v>March 2019</v>
      </c>
      <c r="Y30" s="9">
        <f t="shared" si="2"/>
        <v>3.9276654938222586E-3</v>
      </c>
      <c r="Z30" s="9">
        <f t="shared" si="3"/>
        <v>9.3930635838149045E-3</v>
      </c>
      <c r="AA30" s="9">
        <f t="shared" si="4"/>
        <v>4.120879120879082E-3</v>
      </c>
      <c r="AB30" s="9">
        <f t="shared" si="5"/>
        <v>5.6497175141242018E-3</v>
      </c>
      <c r="AC30" s="9">
        <f t="shared" si="6"/>
        <v>0</v>
      </c>
      <c r="AD30" s="9">
        <f t="shared" si="7"/>
        <v>6.9589422407809849E-4</v>
      </c>
      <c r="AE30" s="9">
        <f t="shared" si="8"/>
        <v>3.5739814152966403E-3</v>
      </c>
    </row>
    <row r="31" spans="2:31" x14ac:dyDescent="0.35">
      <c r="B31" s="15" t="s">
        <v>34</v>
      </c>
      <c r="C31" s="15">
        <v>2019</v>
      </c>
      <c r="D31" s="15" t="s">
        <v>38</v>
      </c>
      <c r="E31" s="26">
        <v>138.30000000000001</v>
      </c>
      <c r="F31" s="15">
        <v>158.5</v>
      </c>
      <c r="G31" s="15">
        <v>136</v>
      </c>
      <c r="H31" s="5">
        <v>142.5</v>
      </c>
      <c r="I31" s="5">
        <v>122</v>
      </c>
      <c r="J31" s="5">
        <v>146.5</v>
      </c>
      <c r="K31" s="5">
        <v>143</v>
      </c>
      <c r="L31" s="5">
        <v>124.9</v>
      </c>
      <c r="M31" s="5">
        <v>139.9</v>
      </c>
      <c r="N31" s="27">
        <f t="shared" si="1"/>
        <v>1251.6000000000001</v>
      </c>
      <c r="O31" s="15">
        <v>140.30000000000001</v>
      </c>
      <c r="P31" s="15">
        <v>146.9</v>
      </c>
      <c r="Q31" s="15">
        <v>124.9</v>
      </c>
      <c r="R31" s="15">
        <v>151.6</v>
      </c>
      <c r="S31" s="15">
        <v>143.69999999999999</v>
      </c>
      <c r="T31" s="15">
        <v>142</v>
      </c>
      <c r="V31" s="15">
        <v>2019</v>
      </c>
      <c r="W31" s="15" t="s">
        <v>38</v>
      </c>
      <c r="X31" s="15" t="str">
        <f t="shared" si="0"/>
        <v>May 2019</v>
      </c>
      <c r="Y31" s="9">
        <f t="shared" si="2"/>
        <v>2.0132040101067766E-2</v>
      </c>
      <c r="Z31" s="9">
        <f t="shared" si="3"/>
        <v>4.2949176807446157E-3</v>
      </c>
      <c r="AA31" s="9">
        <f t="shared" si="4"/>
        <v>4.7879616963065466E-3</v>
      </c>
      <c r="AB31" s="9">
        <f t="shared" si="5"/>
        <v>2.4077046548957575E-3</v>
      </c>
      <c r="AC31" s="9">
        <f t="shared" si="6"/>
        <v>8.6493679308049416E-3</v>
      </c>
      <c r="AD31" s="9">
        <f t="shared" si="7"/>
        <v>-6.9541029207248071E-4</v>
      </c>
      <c r="AE31" s="9">
        <f t="shared" si="8"/>
        <v>1.1396011396011355E-2</v>
      </c>
    </row>
    <row r="32" spans="2:31" x14ac:dyDescent="0.35">
      <c r="B32" s="15" t="s">
        <v>34</v>
      </c>
      <c r="C32" s="15">
        <v>2019</v>
      </c>
      <c r="D32" s="15" t="s">
        <v>39</v>
      </c>
      <c r="E32" s="26">
        <v>138.69999999999999</v>
      </c>
      <c r="F32" s="15">
        <v>162.1</v>
      </c>
      <c r="G32" s="15">
        <v>137.80000000000001</v>
      </c>
      <c r="H32" s="5">
        <v>143.30000000000001</v>
      </c>
      <c r="I32" s="5">
        <v>122.2</v>
      </c>
      <c r="J32" s="5">
        <v>146.80000000000001</v>
      </c>
      <c r="K32" s="5">
        <v>150.5</v>
      </c>
      <c r="L32" s="5">
        <v>128.30000000000001</v>
      </c>
      <c r="M32" s="5">
        <v>140.6</v>
      </c>
      <c r="N32" s="27">
        <f t="shared" si="1"/>
        <v>1270.3</v>
      </c>
      <c r="O32" s="15">
        <v>141.19999999999999</v>
      </c>
      <c r="P32" s="15">
        <v>147.4</v>
      </c>
      <c r="Q32" s="15">
        <v>124.6</v>
      </c>
      <c r="R32" s="15">
        <v>152.5</v>
      </c>
      <c r="S32" s="15">
        <v>143.80000000000001</v>
      </c>
      <c r="T32" s="15">
        <v>142.9</v>
      </c>
      <c r="V32" s="15">
        <v>2019</v>
      </c>
      <c r="W32" s="15" t="s">
        <v>39</v>
      </c>
      <c r="X32" s="15" t="str">
        <f t="shared" si="0"/>
        <v>June 2019</v>
      </c>
      <c r="Y32" s="9">
        <f t="shared" si="2"/>
        <v>1.4940875679130565E-2</v>
      </c>
      <c r="Z32" s="9">
        <f t="shared" si="3"/>
        <v>6.4148253741979841E-3</v>
      </c>
      <c r="AA32" s="9">
        <f t="shared" si="4"/>
        <v>3.4036759700476512E-3</v>
      </c>
      <c r="AB32" s="9">
        <f t="shared" si="5"/>
        <v>-2.4019215372298747E-3</v>
      </c>
      <c r="AC32" s="9">
        <f t="shared" si="6"/>
        <v>5.9366754617414625E-3</v>
      </c>
      <c r="AD32" s="9">
        <f t="shared" si="7"/>
        <v>6.9589422407809849E-4</v>
      </c>
      <c r="AE32" s="9">
        <f t="shared" si="8"/>
        <v>6.3380281690141246E-3</v>
      </c>
    </row>
    <row r="33" spans="2:31" x14ac:dyDescent="0.35">
      <c r="B33" s="15" t="s">
        <v>34</v>
      </c>
      <c r="C33" s="15">
        <v>2019</v>
      </c>
      <c r="D33" s="15" t="s">
        <v>40</v>
      </c>
      <c r="E33" s="26">
        <v>139.30000000000001</v>
      </c>
      <c r="F33" s="15">
        <v>162.69999999999999</v>
      </c>
      <c r="G33" s="15">
        <v>140</v>
      </c>
      <c r="H33" s="5">
        <v>144</v>
      </c>
      <c r="I33" s="5">
        <v>122.5</v>
      </c>
      <c r="J33" s="5">
        <v>150.30000000000001</v>
      </c>
      <c r="K33" s="5">
        <v>160.30000000000001</v>
      </c>
      <c r="L33" s="5">
        <v>130</v>
      </c>
      <c r="M33" s="5">
        <v>141.69999999999999</v>
      </c>
      <c r="N33" s="27">
        <f t="shared" si="1"/>
        <v>1290.8</v>
      </c>
      <c r="O33" s="15">
        <v>139.30000000000001</v>
      </c>
      <c r="P33" s="15">
        <v>147.9</v>
      </c>
      <c r="Q33" s="15">
        <v>125.6</v>
      </c>
      <c r="R33" s="15">
        <v>154</v>
      </c>
      <c r="S33" s="15">
        <v>144.19999999999999</v>
      </c>
      <c r="T33" s="15">
        <v>144.19999999999999</v>
      </c>
      <c r="V33" s="15">
        <v>2019</v>
      </c>
      <c r="W33" s="15" t="s">
        <v>40</v>
      </c>
      <c r="X33" s="15" t="str">
        <f t="shared" si="0"/>
        <v>July 2019</v>
      </c>
      <c r="Y33" s="9">
        <f t="shared" si="2"/>
        <v>1.61379201763363E-2</v>
      </c>
      <c r="Z33" s="9">
        <f t="shared" si="3"/>
        <v>-1.3456090651557914E-2</v>
      </c>
      <c r="AA33" s="9">
        <f t="shared" si="4"/>
        <v>3.3921302578018993E-3</v>
      </c>
      <c r="AB33" s="9">
        <f t="shared" si="5"/>
        <v>8.0256821829855548E-3</v>
      </c>
      <c r="AC33" s="9">
        <f t="shared" si="6"/>
        <v>9.8360655737704927E-3</v>
      </c>
      <c r="AD33" s="9">
        <f t="shared" si="7"/>
        <v>2.7816411682891323E-3</v>
      </c>
      <c r="AE33" s="9">
        <f t="shared" si="8"/>
        <v>9.0972708187542547E-3</v>
      </c>
    </row>
    <row r="34" spans="2:31" x14ac:dyDescent="0.35">
      <c r="B34" s="15" t="s">
        <v>34</v>
      </c>
      <c r="C34" s="15">
        <v>2019</v>
      </c>
      <c r="D34" s="15" t="s">
        <v>41</v>
      </c>
      <c r="E34" s="26">
        <v>140.1</v>
      </c>
      <c r="F34" s="15">
        <v>160.6</v>
      </c>
      <c r="G34" s="15">
        <v>138.5</v>
      </c>
      <c r="H34" s="5">
        <v>144.69999999999999</v>
      </c>
      <c r="I34" s="5">
        <v>122.9</v>
      </c>
      <c r="J34" s="5">
        <v>149.4</v>
      </c>
      <c r="K34" s="5">
        <v>167.4</v>
      </c>
      <c r="L34" s="5">
        <v>130.9</v>
      </c>
      <c r="M34" s="5">
        <v>142.6</v>
      </c>
      <c r="N34" s="27">
        <f t="shared" si="1"/>
        <v>1297.0999999999999</v>
      </c>
      <c r="O34" s="15">
        <v>138.5</v>
      </c>
      <c r="P34" s="15">
        <v>148.5</v>
      </c>
      <c r="Q34" s="15">
        <v>125.8</v>
      </c>
      <c r="R34" s="15">
        <v>154.9</v>
      </c>
      <c r="S34" s="15">
        <v>144.5</v>
      </c>
      <c r="T34" s="15">
        <v>145</v>
      </c>
      <c r="V34" s="15">
        <v>2019</v>
      </c>
      <c r="W34" s="15" t="s">
        <v>41</v>
      </c>
      <c r="X34" s="15" t="str">
        <f t="shared" si="0"/>
        <v>August 2019</v>
      </c>
      <c r="Y34" s="9">
        <f t="shared" si="2"/>
        <v>4.8806941431669935E-3</v>
      </c>
      <c r="Z34" s="9">
        <f t="shared" si="3"/>
        <v>-5.7430007178751706E-3</v>
      </c>
      <c r="AA34" s="9">
        <f t="shared" si="4"/>
        <v>4.0567951318458036E-3</v>
      </c>
      <c r="AB34" s="9">
        <f t="shared" si="5"/>
        <v>1.5923566878981118E-3</v>
      </c>
      <c r="AC34" s="9">
        <f t="shared" si="6"/>
        <v>5.8441558441558808E-3</v>
      </c>
      <c r="AD34" s="9">
        <f t="shared" si="7"/>
        <v>2.0804438280167224E-3</v>
      </c>
      <c r="AE34" s="9">
        <f t="shared" si="8"/>
        <v>5.5478502080444619E-3</v>
      </c>
    </row>
    <row r="35" spans="2:31" x14ac:dyDescent="0.35">
      <c r="B35" s="15" t="s">
        <v>34</v>
      </c>
      <c r="C35" s="15">
        <v>2019</v>
      </c>
      <c r="D35" s="15" t="s">
        <v>42</v>
      </c>
      <c r="E35" s="26">
        <v>140.9</v>
      </c>
      <c r="F35" s="15">
        <v>160.80000000000001</v>
      </c>
      <c r="G35" s="15">
        <v>139.6</v>
      </c>
      <c r="H35" s="5">
        <v>145.4</v>
      </c>
      <c r="I35" s="5">
        <v>123.5</v>
      </c>
      <c r="J35" s="5">
        <v>146.6</v>
      </c>
      <c r="K35" s="5">
        <v>173.2</v>
      </c>
      <c r="L35" s="5">
        <v>131.6</v>
      </c>
      <c r="M35" s="5">
        <v>144.1</v>
      </c>
      <c r="N35" s="27">
        <f t="shared" si="1"/>
        <v>1305.6999999999998</v>
      </c>
      <c r="O35" s="15">
        <v>139.19999999999999</v>
      </c>
      <c r="P35" s="15">
        <v>149</v>
      </c>
      <c r="Q35" s="15">
        <v>126.1</v>
      </c>
      <c r="R35" s="15">
        <v>155.19999999999999</v>
      </c>
      <c r="S35" s="15">
        <v>144.6</v>
      </c>
      <c r="T35" s="15">
        <v>145.80000000000001</v>
      </c>
      <c r="V35" s="15">
        <v>2019</v>
      </c>
      <c r="W35" s="15" t="s">
        <v>42</v>
      </c>
      <c r="X35" s="15" t="str">
        <f t="shared" si="0"/>
        <v>September 2019</v>
      </c>
      <c r="Y35" s="9">
        <f t="shared" si="2"/>
        <v>6.63017500578206E-3</v>
      </c>
      <c r="Z35" s="9">
        <f t="shared" si="3"/>
        <v>5.0541516245486548E-3</v>
      </c>
      <c r="AA35" s="9">
        <f t="shared" si="4"/>
        <v>3.3670033670033669E-3</v>
      </c>
      <c r="AB35" s="9">
        <f t="shared" si="5"/>
        <v>2.3847376788553032E-3</v>
      </c>
      <c r="AC35" s="9">
        <f t="shared" si="6"/>
        <v>1.9367333763717427E-3</v>
      </c>
      <c r="AD35" s="9">
        <f t="shared" si="7"/>
        <v>6.920415224913101E-4</v>
      </c>
      <c r="AE35" s="9">
        <f t="shared" si="8"/>
        <v>5.5172413793104233E-3</v>
      </c>
    </row>
    <row r="36" spans="2:31" x14ac:dyDescent="0.35">
      <c r="B36" s="15" t="s">
        <v>34</v>
      </c>
      <c r="C36" s="15">
        <v>2019</v>
      </c>
      <c r="D36" s="15" t="s">
        <v>43</v>
      </c>
      <c r="E36" s="26">
        <v>141.80000000000001</v>
      </c>
      <c r="F36" s="15">
        <v>161</v>
      </c>
      <c r="G36" s="15">
        <v>142.6</v>
      </c>
      <c r="H36" s="5">
        <v>146.19999999999999</v>
      </c>
      <c r="I36" s="5">
        <v>123.9</v>
      </c>
      <c r="J36" s="5">
        <v>148</v>
      </c>
      <c r="K36" s="5">
        <v>188.4</v>
      </c>
      <c r="L36" s="5">
        <v>132.5</v>
      </c>
      <c r="M36" s="5">
        <v>145.4</v>
      </c>
      <c r="N36" s="27">
        <f t="shared" si="1"/>
        <v>1329.8</v>
      </c>
      <c r="O36" s="15">
        <v>140.6</v>
      </c>
      <c r="P36" s="15">
        <v>149.4</v>
      </c>
      <c r="Q36" s="15">
        <v>126.3</v>
      </c>
      <c r="R36" s="15">
        <v>155.4</v>
      </c>
      <c r="S36" s="15">
        <v>145</v>
      </c>
      <c r="T36" s="15">
        <v>147.19999999999999</v>
      </c>
      <c r="V36" s="15">
        <v>2019</v>
      </c>
      <c r="W36" s="15" t="s">
        <v>43</v>
      </c>
      <c r="X36" s="15" t="str">
        <f t="shared" si="0"/>
        <v>October 2019</v>
      </c>
      <c r="Y36" s="9">
        <f t="shared" si="2"/>
        <v>1.8457532358122187E-2</v>
      </c>
      <c r="Z36" s="9">
        <f t="shared" si="3"/>
        <v>1.0057471264367858E-2</v>
      </c>
      <c r="AA36" s="9">
        <f t="shared" si="4"/>
        <v>2.6845637583892998E-3</v>
      </c>
      <c r="AB36" s="9">
        <f t="shared" si="5"/>
        <v>1.5860428231562478E-3</v>
      </c>
      <c r="AC36" s="9">
        <f t="shared" si="6"/>
        <v>1.2886597938145429E-3</v>
      </c>
      <c r="AD36" s="9">
        <f t="shared" si="7"/>
        <v>2.7662517289073702E-3</v>
      </c>
      <c r="AE36" s="9">
        <f t="shared" si="8"/>
        <v>9.6021947873798155E-3</v>
      </c>
    </row>
    <row r="37" spans="2:31" x14ac:dyDescent="0.35">
      <c r="B37" s="15" t="s">
        <v>34</v>
      </c>
      <c r="C37" s="15">
        <v>2019</v>
      </c>
      <c r="D37" s="15" t="s">
        <v>45</v>
      </c>
      <c r="E37" s="26">
        <v>142.5</v>
      </c>
      <c r="F37" s="15">
        <v>163.19999999999999</v>
      </c>
      <c r="G37" s="15">
        <v>145.6</v>
      </c>
      <c r="H37" s="5">
        <v>146.69999999999999</v>
      </c>
      <c r="I37" s="5">
        <v>124.3</v>
      </c>
      <c r="J37" s="5">
        <v>147.4</v>
      </c>
      <c r="K37" s="5">
        <v>199.6</v>
      </c>
      <c r="L37" s="5">
        <v>135.69999999999999</v>
      </c>
      <c r="M37" s="5">
        <v>147</v>
      </c>
      <c r="N37" s="27">
        <f t="shared" si="1"/>
        <v>1352</v>
      </c>
      <c r="O37" s="15">
        <v>142.30000000000001</v>
      </c>
      <c r="P37" s="15">
        <v>149.9</v>
      </c>
      <c r="Q37" s="15">
        <v>126.6</v>
      </c>
      <c r="R37" s="15">
        <v>155.5</v>
      </c>
      <c r="S37" s="15">
        <v>145.30000000000001</v>
      </c>
      <c r="T37" s="15">
        <v>148.6</v>
      </c>
      <c r="V37" s="15">
        <v>2019</v>
      </c>
      <c r="W37" s="15" t="s">
        <v>45</v>
      </c>
      <c r="X37" s="15" t="str">
        <f t="shared" si="0"/>
        <v>November 2019</v>
      </c>
      <c r="Y37" s="9">
        <f t="shared" si="2"/>
        <v>1.6694239735298575E-2</v>
      </c>
      <c r="Z37" s="9">
        <f t="shared" si="3"/>
        <v>1.2091038406828002E-2</v>
      </c>
      <c r="AA37" s="9">
        <f t="shared" si="4"/>
        <v>3.3467202141900937E-3</v>
      </c>
      <c r="AB37" s="9">
        <f t="shared" si="5"/>
        <v>2.3752969121139918E-3</v>
      </c>
      <c r="AC37" s="9">
        <f t="shared" si="6"/>
        <v>6.4350064350060694E-4</v>
      </c>
      <c r="AD37" s="9">
        <f t="shared" si="7"/>
        <v>2.0689655172414579E-3</v>
      </c>
      <c r="AE37" s="9">
        <f t="shared" si="8"/>
        <v>9.5108695652174301E-3</v>
      </c>
    </row>
    <row r="38" spans="2:31" x14ac:dyDescent="0.35">
      <c r="B38" s="15" t="s">
        <v>34</v>
      </c>
      <c r="C38" s="15">
        <v>2019</v>
      </c>
      <c r="D38" s="15" t="s">
        <v>46</v>
      </c>
      <c r="E38" s="26">
        <v>143.5</v>
      </c>
      <c r="F38" s="15">
        <v>165</v>
      </c>
      <c r="G38" s="15">
        <v>151.1</v>
      </c>
      <c r="H38" s="5">
        <v>148.30000000000001</v>
      </c>
      <c r="I38" s="5">
        <v>125.7</v>
      </c>
      <c r="J38" s="5">
        <v>145.69999999999999</v>
      </c>
      <c r="K38" s="5">
        <v>217</v>
      </c>
      <c r="L38" s="5">
        <v>138.30000000000001</v>
      </c>
      <c r="M38" s="5">
        <v>148.69999999999999</v>
      </c>
      <c r="N38" s="27">
        <f t="shared" si="1"/>
        <v>1383.3000000000002</v>
      </c>
      <c r="O38" s="15">
        <v>143.69999999999999</v>
      </c>
      <c r="P38" s="15">
        <v>150.4</v>
      </c>
      <c r="Q38" s="15">
        <v>129.80000000000001</v>
      </c>
      <c r="R38" s="15">
        <v>155.69999999999999</v>
      </c>
      <c r="S38" s="15">
        <v>145.80000000000001</v>
      </c>
      <c r="T38" s="15">
        <v>150.4</v>
      </c>
      <c r="V38" s="15">
        <v>2019</v>
      </c>
      <c r="W38" s="15" t="s">
        <v>46</v>
      </c>
      <c r="X38" s="15" t="str">
        <f t="shared" si="0"/>
        <v>December 2019</v>
      </c>
      <c r="Y38" s="9">
        <f t="shared" si="2"/>
        <v>2.3150887573964631E-2</v>
      </c>
      <c r="Z38" s="9">
        <f t="shared" si="3"/>
        <v>9.8383696416020888E-3</v>
      </c>
      <c r="AA38" s="9">
        <f t="shared" si="4"/>
        <v>3.3355570380253501E-3</v>
      </c>
      <c r="AB38" s="9">
        <f t="shared" si="5"/>
        <v>2.5276461295418776E-2</v>
      </c>
      <c r="AC38" s="9">
        <f t="shared" si="6"/>
        <v>1.2861736334404414E-3</v>
      </c>
      <c r="AD38" s="9">
        <f t="shared" si="7"/>
        <v>3.4411562284927732E-3</v>
      </c>
      <c r="AE38" s="9">
        <f t="shared" si="8"/>
        <v>1.2113055181695904E-2</v>
      </c>
    </row>
    <row r="39" spans="2:31" x14ac:dyDescent="0.35">
      <c r="B39" s="15" t="s">
        <v>34</v>
      </c>
      <c r="C39" s="15">
        <v>2020</v>
      </c>
      <c r="D39" s="15" t="s">
        <v>31</v>
      </c>
      <c r="E39" s="26">
        <v>144.30000000000001</v>
      </c>
      <c r="F39" s="15">
        <v>167.4</v>
      </c>
      <c r="G39" s="15">
        <v>154.9</v>
      </c>
      <c r="H39" s="5">
        <v>150.1</v>
      </c>
      <c r="I39" s="5">
        <v>129.9</v>
      </c>
      <c r="J39" s="5">
        <v>143.19999999999999</v>
      </c>
      <c r="K39" s="5">
        <v>197</v>
      </c>
      <c r="L39" s="5">
        <v>140.4</v>
      </c>
      <c r="M39" s="5">
        <v>150.9</v>
      </c>
      <c r="N39" s="27">
        <f t="shared" si="1"/>
        <v>1378.1000000000001</v>
      </c>
      <c r="O39" s="15">
        <v>144.6</v>
      </c>
      <c r="P39" s="15">
        <v>151.19999999999999</v>
      </c>
      <c r="Q39" s="15">
        <v>130.9</v>
      </c>
      <c r="R39" s="15">
        <v>156.1</v>
      </c>
      <c r="S39" s="15">
        <v>146.19999999999999</v>
      </c>
      <c r="T39" s="15">
        <v>150.19999999999999</v>
      </c>
      <c r="V39" s="15">
        <v>2020</v>
      </c>
      <c r="W39" s="15" t="s">
        <v>31</v>
      </c>
      <c r="X39" s="15" t="str">
        <f t="shared" si="0"/>
        <v>January 2020</v>
      </c>
      <c r="Y39" s="9">
        <f t="shared" si="2"/>
        <v>-3.759126725945236E-3</v>
      </c>
      <c r="Z39" s="9">
        <f t="shared" si="3"/>
        <v>6.2630480167015015E-3</v>
      </c>
      <c r="AA39" s="9">
        <f t="shared" si="4"/>
        <v>5.319148936170099E-3</v>
      </c>
      <c r="AB39" s="9">
        <f t="shared" si="5"/>
        <v>8.4745762711863955E-3</v>
      </c>
      <c r="AC39" s="9">
        <f t="shared" si="6"/>
        <v>2.5690430314708138E-3</v>
      </c>
      <c r="AD39" s="9">
        <f t="shared" si="7"/>
        <v>2.7434842249655501E-3</v>
      </c>
      <c r="AE39" s="9">
        <f t="shared" si="8"/>
        <v>-1.3297872340426666E-3</v>
      </c>
    </row>
    <row r="40" spans="2:31" x14ac:dyDescent="0.35">
      <c r="B40" s="15" t="s">
        <v>34</v>
      </c>
      <c r="C40" s="15">
        <v>2020</v>
      </c>
      <c r="D40" s="15" t="s">
        <v>35</v>
      </c>
      <c r="E40" s="26">
        <v>144.80000000000001</v>
      </c>
      <c r="F40" s="15">
        <v>167.5</v>
      </c>
      <c r="G40" s="15">
        <v>151.80000000000001</v>
      </c>
      <c r="H40" s="5">
        <v>150.80000000000001</v>
      </c>
      <c r="I40" s="5">
        <v>131.4</v>
      </c>
      <c r="J40" s="5">
        <v>141.80000000000001</v>
      </c>
      <c r="K40" s="5">
        <v>170.7</v>
      </c>
      <c r="L40" s="5">
        <v>141.1</v>
      </c>
      <c r="M40" s="5">
        <v>152</v>
      </c>
      <c r="N40" s="27">
        <f t="shared" si="1"/>
        <v>1351.9</v>
      </c>
      <c r="O40" s="15">
        <v>147.19999999999999</v>
      </c>
      <c r="P40" s="15">
        <v>151.69999999999999</v>
      </c>
      <c r="Q40" s="15">
        <v>130.30000000000001</v>
      </c>
      <c r="R40" s="15">
        <v>156.19999999999999</v>
      </c>
      <c r="S40" s="15">
        <v>146.4</v>
      </c>
      <c r="T40" s="15">
        <v>149.1</v>
      </c>
      <c r="V40" s="15">
        <v>2020</v>
      </c>
      <c r="W40" s="15" t="s">
        <v>35</v>
      </c>
      <c r="X40" s="15" t="str">
        <f t="shared" si="0"/>
        <v>February 2020</v>
      </c>
      <c r="Y40" s="9">
        <f t="shared" si="2"/>
        <v>-1.9011682751614571E-2</v>
      </c>
      <c r="Z40" s="9">
        <f t="shared" si="3"/>
        <v>1.7980636237897609E-2</v>
      </c>
      <c r="AA40" s="9">
        <f t="shared" si="4"/>
        <v>3.3068783068783071E-3</v>
      </c>
      <c r="AB40" s="9">
        <f t="shared" si="5"/>
        <v>-4.583651642475128E-3</v>
      </c>
      <c r="AC40" s="9">
        <f t="shared" si="6"/>
        <v>6.4061499039073878E-4</v>
      </c>
      <c r="AD40" s="9">
        <f t="shared" si="7"/>
        <v>1.3679890560876679E-3</v>
      </c>
      <c r="AE40" s="9">
        <f t="shared" si="8"/>
        <v>-7.3235685752329853E-3</v>
      </c>
    </row>
    <row r="41" spans="2:31" x14ac:dyDescent="0.35">
      <c r="B41" s="15" t="s">
        <v>34</v>
      </c>
      <c r="C41" s="15">
        <v>2020</v>
      </c>
      <c r="D41" s="15" t="s">
        <v>36</v>
      </c>
      <c r="E41" s="26">
        <v>145.1</v>
      </c>
      <c r="F41" s="15">
        <v>167</v>
      </c>
      <c r="G41" s="15">
        <v>148.1</v>
      </c>
      <c r="H41" s="5">
        <v>151.5</v>
      </c>
      <c r="I41" s="5">
        <v>131.19999999999999</v>
      </c>
      <c r="J41" s="5">
        <v>142.5</v>
      </c>
      <c r="K41" s="5">
        <v>157.30000000000001</v>
      </c>
      <c r="L41" s="5">
        <v>141.1</v>
      </c>
      <c r="M41" s="5">
        <v>153.19999999999999</v>
      </c>
      <c r="N41" s="27">
        <f t="shared" si="1"/>
        <v>1337</v>
      </c>
      <c r="O41" s="15">
        <v>148.9</v>
      </c>
      <c r="P41" s="15">
        <v>152.30000000000001</v>
      </c>
      <c r="Q41" s="15">
        <v>129.9</v>
      </c>
      <c r="R41" s="15">
        <v>156.1</v>
      </c>
      <c r="S41" s="15">
        <v>146.4</v>
      </c>
      <c r="T41" s="15">
        <v>148.6</v>
      </c>
      <c r="V41" s="15">
        <v>2020</v>
      </c>
      <c r="W41" s="15" t="s">
        <v>36</v>
      </c>
      <c r="X41" s="15" t="str">
        <f t="shared" si="0"/>
        <v>March 2020</v>
      </c>
      <c r="Y41" s="9">
        <f t="shared" si="2"/>
        <v>-1.1021525260744205E-2</v>
      </c>
      <c r="Z41" s="9">
        <f t="shared" si="3"/>
        <v>1.1548913043478378E-2</v>
      </c>
      <c r="AA41" s="9">
        <f t="shared" si="4"/>
        <v>3.9551746868821541E-3</v>
      </c>
      <c r="AB41" s="9">
        <f t="shared" si="5"/>
        <v>-3.0698388334612866E-3</v>
      </c>
      <c r="AC41" s="9">
        <f t="shared" si="6"/>
        <v>-6.4020486555694189E-4</v>
      </c>
      <c r="AD41" s="9">
        <f t="shared" si="7"/>
        <v>0</v>
      </c>
      <c r="AE41" s="9">
        <f t="shared" si="8"/>
        <v>-3.3534540576794099E-3</v>
      </c>
    </row>
    <row r="42" spans="2:31" x14ac:dyDescent="0.35">
      <c r="B42" s="15" t="s">
        <v>34</v>
      </c>
      <c r="C42" s="15">
        <v>2020</v>
      </c>
      <c r="D42" s="15" t="s">
        <v>37</v>
      </c>
      <c r="E42" s="26">
        <v>148.69999999999999</v>
      </c>
      <c r="F42" s="15">
        <v>144</v>
      </c>
      <c r="G42" s="15">
        <v>148.80000000000001</v>
      </c>
      <c r="H42" s="5">
        <v>155.6</v>
      </c>
      <c r="I42" s="5">
        <v>135.1</v>
      </c>
      <c r="J42" s="5">
        <v>149.9</v>
      </c>
      <c r="K42" s="5">
        <v>168.6</v>
      </c>
      <c r="L42" s="5">
        <v>150.4</v>
      </c>
      <c r="M42" s="5">
        <v>157.1</v>
      </c>
      <c r="N42" s="27">
        <f t="shared" si="1"/>
        <v>1358.2</v>
      </c>
      <c r="O42" s="15">
        <v>144.1</v>
      </c>
      <c r="P42" s="15">
        <v>150.69999999999999</v>
      </c>
      <c r="Q42" s="15">
        <v>118.9</v>
      </c>
      <c r="R42" s="15">
        <v>138.80000000000001</v>
      </c>
      <c r="S42" s="15">
        <v>134.80000000000001</v>
      </c>
      <c r="T42" s="15">
        <v>136.80000000000001</v>
      </c>
      <c r="V42" s="15">
        <v>2020</v>
      </c>
      <c r="W42" s="15" t="s">
        <v>37</v>
      </c>
      <c r="X42" s="15" t="str">
        <f t="shared" si="0"/>
        <v>April 2020</v>
      </c>
      <c r="Y42" s="9">
        <f t="shared" si="2"/>
        <v>1.585639491398657E-2</v>
      </c>
      <c r="Z42" s="9">
        <f t="shared" si="3"/>
        <v>-3.2236400268636743E-2</v>
      </c>
      <c r="AA42" s="9">
        <f t="shared" si="4"/>
        <v>-1.0505581089954186E-2</v>
      </c>
      <c r="AB42" s="9">
        <f t="shared" si="5"/>
        <v>-8.4680523479599687E-2</v>
      </c>
      <c r="AC42" s="9">
        <f t="shared" si="6"/>
        <v>-0.110826393337604</v>
      </c>
      <c r="AD42" s="9">
        <f t="shared" si="7"/>
        <v>-7.9234972677595591E-2</v>
      </c>
      <c r="AE42" s="9">
        <f t="shared" si="8"/>
        <v>-7.9407806191116981E-2</v>
      </c>
    </row>
    <row r="43" spans="2:31" x14ac:dyDescent="0.35">
      <c r="B43" s="15" t="s">
        <v>34</v>
      </c>
      <c r="C43" s="15">
        <v>2020</v>
      </c>
      <c r="D43" s="15" t="s">
        <v>38</v>
      </c>
      <c r="E43" s="26">
        <v>135.70089285714283</v>
      </c>
      <c r="F43" s="15">
        <v>144</v>
      </c>
      <c r="G43" s="15">
        <v>135.35</v>
      </c>
      <c r="H43" s="5">
        <v>141.05000000000001</v>
      </c>
      <c r="I43" s="5">
        <v>120.6</v>
      </c>
      <c r="J43" s="5">
        <v>141.65</v>
      </c>
      <c r="K43" s="5">
        <v>154.65</v>
      </c>
      <c r="L43" s="5">
        <v>138.69999999999999</v>
      </c>
      <c r="M43" s="5">
        <v>138.75</v>
      </c>
      <c r="N43" s="27">
        <f t="shared" si="1"/>
        <v>1250.4508928571427</v>
      </c>
      <c r="O43" s="15">
        <v>136.55000000000001</v>
      </c>
      <c r="P43" s="15">
        <v>133.55000000000001</v>
      </c>
      <c r="Q43" s="15">
        <v>118.9</v>
      </c>
      <c r="R43" s="15">
        <v>138.80000000000001</v>
      </c>
      <c r="S43" s="15">
        <v>134.80000000000001</v>
      </c>
      <c r="T43" s="15">
        <v>136.80000000000001</v>
      </c>
      <c r="V43" s="15">
        <v>2020</v>
      </c>
      <c r="W43" s="15" t="s">
        <v>38</v>
      </c>
      <c r="X43" s="15" t="str">
        <f t="shared" si="0"/>
        <v>May 2020</v>
      </c>
      <c r="Y43" s="9">
        <f t="shared" si="2"/>
        <v>-7.9332283274081414E-2</v>
      </c>
      <c r="Z43" s="9">
        <f t="shared" si="3"/>
        <v>-5.2394170714781287E-2</v>
      </c>
      <c r="AA43" s="9">
        <f t="shared" si="4"/>
        <v>-0.11380225613802242</v>
      </c>
      <c r="AB43" s="9">
        <f t="shared" si="5"/>
        <v>0</v>
      </c>
      <c r="AC43" s="9">
        <f t="shared" si="6"/>
        <v>0</v>
      </c>
      <c r="AD43" s="9">
        <f t="shared" si="7"/>
        <v>0</v>
      </c>
      <c r="AE43" s="9">
        <f t="shared" si="8"/>
        <v>0</v>
      </c>
    </row>
    <row r="44" spans="2:31" x14ac:dyDescent="0.35">
      <c r="B44" s="15" t="s">
        <v>34</v>
      </c>
      <c r="C44" s="15">
        <v>2020</v>
      </c>
      <c r="D44" s="15" t="s">
        <v>39</v>
      </c>
      <c r="E44" s="26">
        <v>149.6</v>
      </c>
      <c r="F44" s="15">
        <v>192.7</v>
      </c>
      <c r="G44" s="15">
        <v>151.4</v>
      </c>
      <c r="H44" s="5">
        <v>153.30000000000001</v>
      </c>
      <c r="I44" s="5">
        <v>136.30000000000001</v>
      </c>
      <c r="J44" s="5">
        <v>147.19999999999999</v>
      </c>
      <c r="K44" s="5">
        <v>156.5</v>
      </c>
      <c r="L44" s="5">
        <v>150.9</v>
      </c>
      <c r="M44" s="5">
        <v>159.5</v>
      </c>
      <c r="N44" s="27">
        <f t="shared" si="1"/>
        <v>1397.4</v>
      </c>
      <c r="O44" s="15">
        <v>141.9</v>
      </c>
      <c r="P44" s="15">
        <v>154.4</v>
      </c>
      <c r="Q44" s="15">
        <v>135</v>
      </c>
      <c r="R44" s="15">
        <v>156.4</v>
      </c>
      <c r="S44" s="15">
        <v>146.4</v>
      </c>
      <c r="T44" s="15">
        <v>151.80000000000001</v>
      </c>
      <c r="V44" s="15">
        <v>2020</v>
      </c>
      <c r="W44" s="15" t="s">
        <v>39</v>
      </c>
      <c r="X44" s="15" t="str">
        <f t="shared" si="0"/>
        <v>June 2020</v>
      </c>
      <c r="Y44" s="9">
        <f t="shared" si="2"/>
        <v>0.11751689569119735</v>
      </c>
      <c r="Z44" s="9">
        <f t="shared" si="3"/>
        <v>3.9179787623581062E-2</v>
      </c>
      <c r="AA44" s="9">
        <f t="shared" si="4"/>
        <v>0.15612130288281537</v>
      </c>
      <c r="AB44" s="9">
        <f t="shared" si="5"/>
        <v>0.13540790580319592</v>
      </c>
      <c r="AC44" s="9">
        <f t="shared" si="6"/>
        <v>0.12680115273775211</v>
      </c>
      <c r="AD44" s="9">
        <f t="shared" si="7"/>
        <v>8.6053412462907958E-2</v>
      </c>
      <c r="AE44" s="9">
        <f t="shared" si="8"/>
        <v>0.10964912280701754</v>
      </c>
    </row>
    <row r="45" spans="2:31" x14ac:dyDescent="0.35">
      <c r="B45" s="15" t="s">
        <v>34</v>
      </c>
      <c r="C45" s="15">
        <v>2020</v>
      </c>
      <c r="D45" s="15" t="s">
        <v>40</v>
      </c>
      <c r="E45" s="26">
        <v>149.6</v>
      </c>
      <c r="F45" s="15">
        <v>192.7</v>
      </c>
      <c r="G45" s="15">
        <v>151.4</v>
      </c>
      <c r="H45" s="5">
        <v>153.30000000000001</v>
      </c>
      <c r="I45" s="5">
        <v>136.30000000000001</v>
      </c>
      <c r="J45" s="5">
        <v>147.19999999999999</v>
      </c>
      <c r="K45" s="5">
        <v>156.5</v>
      </c>
      <c r="L45" s="5">
        <v>150.9</v>
      </c>
      <c r="M45" s="5">
        <v>159.5</v>
      </c>
      <c r="N45" s="27">
        <f t="shared" si="1"/>
        <v>1397.4</v>
      </c>
      <c r="O45" s="15">
        <v>141.9</v>
      </c>
      <c r="P45" s="15">
        <v>154.4</v>
      </c>
      <c r="Q45" s="15">
        <v>135</v>
      </c>
      <c r="R45" s="15">
        <v>156.4</v>
      </c>
      <c r="S45" s="15">
        <v>146.4</v>
      </c>
      <c r="T45" s="15">
        <v>151.80000000000001</v>
      </c>
      <c r="V45" s="15">
        <v>2020</v>
      </c>
      <c r="W45" s="15" t="s">
        <v>40</v>
      </c>
      <c r="X45" s="15" t="str">
        <f t="shared" si="0"/>
        <v>July 2020</v>
      </c>
      <c r="Y45" s="9">
        <f t="shared" si="2"/>
        <v>0</v>
      </c>
      <c r="Z45" s="9">
        <f t="shared" si="3"/>
        <v>0</v>
      </c>
      <c r="AA45" s="9">
        <f t="shared" si="4"/>
        <v>0</v>
      </c>
      <c r="AB45" s="9">
        <f t="shared" si="5"/>
        <v>0</v>
      </c>
      <c r="AC45" s="9">
        <f t="shared" si="6"/>
        <v>0</v>
      </c>
      <c r="AD45" s="9">
        <f t="shared" si="7"/>
        <v>0</v>
      </c>
      <c r="AE45" s="9">
        <f t="shared" si="8"/>
        <v>0</v>
      </c>
    </row>
    <row r="46" spans="2:31" x14ac:dyDescent="0.35">
      <c r="B46" s="15" t="s">
        <v>34</v>
      </c>
      <c r="C46" s="15">
        <v>2020</v>
      </c>
      <c r="D46" s="15" t="s">
        <v>41</v>
      </c>
      <c r="E46" s="26">
        <v>148.9</v>
      </c>
      <c r="F46" s="15">
        <v>190.9</v>
      </c>
      <c r="G46" s="15">
        <v>150.80000000000001</v>
      </c>
      <c r="H46" s="5">
        <v>153.30000000000001</v>
      </c>
      <c r="I46" s="5">
        <v>137.4</v>
      </c>
      <c r="J46" s="5">
        <v>150.4</v>
      </c>
      <c r="K46" s="5">
        <v>178.1</v>
      </c>
      <c r="L46" s="5">
        <v>150.4</v>
      </c>
      <c r="M46" s="5">
        <v>160</v>
      </c>
      <c r="N46" s="27">
        <f t="shared" si="1"/>
        <v>1420.2</v>
      </c>
      <c r="O46" s="15">
        <v>143</v>
      </c>
      <c r="P46" s="15">
        <v>155</v>
      </c>
      <c r="Q46" s="15">
        <v>138.5</v>
      </c>
      <c r="R46" s="15">
        <v>158.5</v>
      </c>
      <c r="S46" s="15">
        <v>148.4</v>
      </c>
      <c r="T46" s="15">
        <v>153.9</v>
      </c>
      <c r="V46" s="15">
        <v>2020</v>
      </c>
      <c r="W46" s="15" t="s">
        <v>41</v>
      </c>
      <c r="X46" s="15" t="str">
        <f t="shared" si="0"/>
        <v>August 2020</v>
      </c>
      <c r="Y46" s="9">
        <f t="shared" si="2"/>
        <v>1.6316015457277767E-2</v>
      </c>
      <c r="Z46" s="9">
        <f t="shared" si="3"/>
        <v>7.751937984496084E-3</v>
      </c>
      <c r="AA46" s="9">
        <f t="shared" si="4"/>
        <v>3.8860103626942636E-3</v>
      </c>
      <c r="AB46" s="9">
        <f t="shared" si="5"/>
        <v>2.5925925925925925E-2</v>
      </c>
      <c r="AC46" s="9">
        <f t="shared" si="6"/>
        <v>1.3427109974424516E-2</v>
      </c>
      <c r="AD46" s="9">
        <f t="shared" si="7"/>
        <v>1.3661202185792349E-2</v>
      </c>
      <c r="AE46" s="9">
        <f t="shared" si="8"/>
        <v>1.3833992094861622E-2</v>
      </c>
    </row>
    <row r="47" spans="2:31" x14ac:dyDescent="0.35">
      <c r="B47" s="15" t="s">
        <v>34</v>
      </c>
      <c r="C47" s="15">
        <v>2020</v>
      </c>
      <c r="D47" s="15" t="s">
        <v>42</v>
      </c>
      <c r="E47" s="26">
        <v>148.4</v>
      </c>
      <c r="F47" s="15">
        <v>187.1</v>
      </c>
      <c r="G47" s="15">
        <v>152.5</v>
      </c>
      <c r="H47" s="5">
        <v>153.6</v>
      </c>
      <c r="I47" s="5">
        <v>138.19999999999999</v>
      </c>
      <c r="J47" s="5">
        <v>150.9</v>
      </c>
      <c r="K47" s="5">
        <v>186.7</v>
      </c>
      <c r="L47" s="5">
        <v>149.80000000000001</v>
      </c>
      <c r="M47" s="5">
        <v>160.30000000000001</v>
      </c>
      <c r="N47" s="27">
        <f t="shared" si="1"/>
        <v>1427.4999999999998</v>
      </c>
      <c r="O47" s="15">
        <v>142.9</v>
      </c>
      <c r="P47" s="15">
        <v>155.6</v>
      </c>
      <c r="Q47" s="15">
        <v>139.6</v>
      </c>
      <c r="R47" s="15">
        <v>157.5</v>
      </c>
      <c r="S47" s="15">
        <v>148.69999999999999</v>
      </c>
      <c r="T47" s="15">
        <v>154.69999999999999</v>
      </c>
      <c r="V47" s="15">
        <v>2020</v>
      </c>
      <c r="W47" s="15" t="s">
        <v>42</v>
      </c>
      <c r="X47" s="15" t="str">
        <f t="shared" si="0"/>
        <v>September 2020</v>
      </c>
      <c r="Y47" s="9">
        <f t="shared" si="2"/>
        <v>5.1401211097026663E-3</v>
      </c>
      <c r="Z47" s="9">
        <f t="shared" si="3"/>
        <v>-6.9930069930065951E-4</v>
      </c>
      <c r="AA47" s="9">
        <f t="shared" si="4"/>
        <v>3.870967741935447E-3</v>
      </c>
      <c r="AB47" s="9">
        <f t="shared" si="5"/>
        <v>7.9422382671479729E-3</v>
      </c>
      <c r="AC47" s="9">
        <f t="shared" si="6"/>
        <v>-6.3091482649842269E-3</v>
      </c>
      <c r="AD47" s="9">
        <f t="shared" si="7"/>
        <v>2.0215633423179445E-3</v>
      </c>
      <c r="AE47" s="9">
        <f t="shared" si="8"/>
        <v>5.1981806367770167E-3</v>
      </c>
    </row>
    <row r="48" spans="2:31" x14ac:dyDescent="0.35">
      <c r="B48" s="15" t="s">
        <v>34</v>
      </c>
      <c r="C48" s="15">
        <v>2020</v>
      </c>
      <c r="D48" s="15" t="s">
        <v>43</v>
      </c>
      <c r="E48" s="26">
        <v>147.5</v>
      </c>
      <c r="F48" s="15">
        <v>188.9</v>
      </c>
      <c r="G48" s="15">
        <v>161.4</v>
      </c>
      <c r="H48" s="5">
        <v>153.6</v>
      </c>
      <c r="I48" s="5">
        <v>140.1</v>
      </c>
      <c r="J48" s="5">
        <v>151.19999999999999</v>
      </c>
      <c r="K48" s="5">
        <v>209.2</v>
      </c>
      <c r="L48" s="5">
        <v>150.9</v>
      </c>
      <c r="M48" s="5">
        <v>161</v>
      </c>
      <c r="N48" s="27">
        <f t="shared" si="1"/>
        <v>1463.8000000000002</v>
      </c>
      <c r="O48" s="15">
        <v>143.1</v>
      </c>
      <c r="P48" s="15">
        <v>156.30000000000001</v>
      </c>
      <c r="Q48" s="15">
        <v>140.6</v>
      </c>
      <c r="R48" s="15">
        <v>158.5</v>
      </c>
      <c r="S48" s="15">
        <v>148.69999999999999</v>
      </c>
      <c r="T48" s="15">
        <v>156.4</v>
      </c>
      <c r="V48" s="15">
        <v>2020</v>
      </c>
      <c r="W48" s="15" t="s">
        <v>43</v>
      </c>
      <c r="X48" s="15" t="str">
        <f t="shared" si="0"/>
        <v>October 2020</v>
      </c>
      <c r="Y48" s="9">
        <f t="shared" si="2"/>
        <v>2.5429071803853179E-2</v>
      </c>
      <c r="Z48" s="9">
        <f t="shared" si="3"/>
        <v>1.3995801259621317E-3</v>
      </c>
      <c r="AA48" s="9">
        <f t="shared" si="4"/>
        <v>4.4987146529564077E-3</v>
      </c>
      <c r="AB48" s="9">
        <f t="shared" si="5"/>
        <v>7.1633237822349575E-3</v>
      </c>
      <c r="AC48" s="9">
        <f t="shared" si="6"/>
        <v>6.3492063492063492E-3</v>
      </c>
      <c r="AD48" s="9">
        <f t="shared" si="7"/>
        <v>0</v>
      </c>
      <c r="AE48" s="9">
        <f t="shared" si="8"/>
        <v>1.0989010989011101E-2</v>
      </c>
    </row>
    <row r="49" spans="2:31" x14ac:dyDescent="0.35">
      <c r="B49" s="15" t="s">
        <v>34</v>
      </c>
      <c r="C49" s="15">
        <v>2020</v>
      </c>
      <c r="D49" s="15" t="s">
        <v>45</v>
      </c>
      <c r="E49" s="26">
        <v>146.80000000000001</v>
      </c>
      <c r="F49" s="15">
        <v>191</v>
      </c>
      <c r="G49" s="15">
        <v>173.6</v>
      </c>
      <c r="H49" s="5">
        <v>153.80000000000001</v>
      </c>
      <c r="I49" s="5">
        <v>142.69999999999999</v>
      </c>
      <c r="J49" s="5">
        <v>148.4</v>
      </c>
      <c r="K49" s="5">
        <v>230</v>
      </c>
      <c r="L49" s="5">
        <v>156.80000000000001</v>
      </c>
      <c r="M49" s="5">
        <v>161.80000000000001</v>
      </c>
      <c r="N49" s="27">
        <f t="shared" si="1"/>
        <v>1504.9</v>
      </c>
      <c r="O49" s="15">
        <v>143.6</v>
      </c>
      <c r="P49" s="15">
        <v>157.19999999999999</v>
      </c>
      <c r="Q49" s="15">
        <v>140.4</v>
      </c>
      <c r="R49" s="15">
        <v>158.6</v>
      </c>
      <c r="S49" s="15">
        <v>149.19999999999999</v>
      </c>
      <c r="T49" s="15">
        <v>158.4</v>
      </c>
      <c r="V49" s="15">
        <v>2020</v>
      </c>
      <c r="W49" s="15" t="s">
        <v>45</v>
      </c>
      <c r="X49" s="15" t="str">
        <f t="shared" si="0"/>
        <v>November 2020</v>
      </c>
      <c r="Y49" s="9">
        <f t="shared" si="2"/>
        <v>2.8077606230359275E-2</v>
      </c>
      <c r="Z49" s="9">
        <f t="shared" si="3"/>
        <v>3.4940600978336828E-3</v>
      </c>
      <c r="AA49" s="9">
        <f t="shared" si="4"/>
        <v>5.7581573896351712E-3</v>
      </c>
      <c r="AB49" s="9">
        <f t="shared" si="5"/>
        <v>-1.4224751066855522E-3</v>
      </c>
      <c r="AC49" s="9">
        <f t="shared" si="6"/>
        <v>6.3091482649838687E-4</v>
      </c>
      <c r="AD49" s="9">
        <f t="shared" si="7"/>
        <v>3.3624747814391394E-3</v>
      </c>
      <c r="AE49" s="9">
        <f t="shared" si="8"/>
        <v>1.278772378516624E-2</v>
      </c>
    </row>
    <row r="50" spans="2:31" x14ac:dyDescent="0.35">
      <c r="B50" s="15" t="s">
        <v>34</v>
      </c>
      <c r="C50" s="15">
        <v>2020</v>
      </c>
      <c r="D50" s="15" t="s">
        <v>46</v>
      </c>
      <c r="E50" s="26">
        <v>146</v>
      </c>
      <c r="F50" s="15">
        <v>191</v>
      </c>
      <c r="G50" s="15">
        <v>175.3</v>
      </c>
      <c r="H50" s="5">
        <v>154.1</v>
      </c>
      <c r="I50" s="5">
        <v>146.6</v>
      </c>
      <c r="J50" s="5">
        <v>147.69999999999999</v>
      </c>
      <c r="K50" s="5">
        <v>230.5</v>
      </c>
      <c r="L50" s="5">
        <v>160.19999999999999</v>
      </c>
      <c r="M50" s="5">
        <v>163</v>
      </c>
      <c r="N50" s="27">
        <f t="shared" si="1"/>
        <v>1514.4</v>
      </c>
      <c r="O50" s="15">
        <v>144.6</v>
      </c>
      <c r="P50" s="15">
        <v>158.30000000000001</v>
      </c>
      <c r="Q50" s="15">
        <v>140.69999999999999</v>
      </c>
      <c r="R50" s="15">
        <v>159.4</v>
      </c>
      <c r="S50" s="15">
        <v>149.69999999999999</v>
      </c>
      <c r="T50" s="15">
        <v>158.9</v>
      </c>
      <c r="V50" s="15">
        <v>2020</v>
      </c>
      <c r="W50" s="15" t="s">
        <v>46</v>
      </c>
      <c r="X50" s="15" t="str">
        <f t="shared" si="0"/>
        <v>December 2020</v>
      </c>
      <c r="Y50" s="9">
        <f t="shared" si="2"/>
        <v>6.3127118080935603E-3</v>
      </c>
      <c r="Z50" s="9">
        <f t="shared" si="3"/>
        <v>6.9637883008356553E-3</v>
      </c>
      <c r="AA50" s="9">
        <f t="shared" si="4"/>
        <v>6.9974554707380584E-3</v>
      </c>
      <c r="AB50" s="9">
        <f t="shared" si="5"/>
        <v>2.1367521367520151E-3</v>
      </c>
      <c r="AC50" s="9">
        <f t="shared" si="6"/>
        <v>5.0441361916772473E-3</v>
      </c>
      <c r="AD50" s="9">
        <f t="shared" si="7"/>
        <v>3.351206434316354E-3</v>
      </c>
      <c r="AE50" s="9">
        <f t="shared" si="8"/>
        <v>3.1565656565656565E-3</v>
      </c>
    </row>
    <row r="51" spans="2:31" x14ac:dyDescent="0.35">
      <c r="B51" s="15" t="s">
        <v>34</v>
      </c>
      <c r="C51" s="15">
        <v>2021</v>
      </c>
      <c r="D51" s="15" t="s">
        <v>31</v>
      </c>
      <c r="E51" s="26">
        <v>144.9</v>
      </c>
      <c r="F51" s="15">
        <v>190.1</v>
      </c>
      <c r="G51" s="15">
        <v>175.3</v>
      </c>
      <c r="H51" s="5">
        <v>154.1</v>
      </c>
      <c r="I51" s="5">
        <v>150.9</v>
      </c>
      <c r="J51" s="5">
        <v>149.6</v>
      </c>
      <c r="K51" s="5">
        <v>194.2</v>
      </c>
      <c r="L51" s="5">
        <v>160.4</v>
      </c>
      <c r="M51" s="5">
        <v>164</v>
      </c>
      <c r="N51" s="27">
        <f t="shared" si="1"/>
        <v>1483.5</v>
      </c>
      <c r="O51" s="15">
        <v>147.9</v>
      </c>
      <c r="P51" s="15">
        <v>159.30000000000001</v>
      </c>
      <c r="Q51" s="15">
        <v>141.9</v>
      </c>
      <c r="R51" s="15">
        <v>159.19999999999999</v>
      </c>
      <c r="S51" s="15">
        <v>150</v>
      </c>
      <c r="T51" s="15">
        <v>157.30000000000001</v>
      </c>
      <c r="V51" s="15">
        <v>2021</v>
      </c>
      <c r="W51" s="15" t="s">
        <v>31</v>
      </c>
      <c r="X51" s="15" t="str">
        <f t="shared" si="0"/>
        <v>January 2021</v>
      </c>
      <c r="Y51" s="9">
        <f t="shared" si="2"/>
        <v>-2.0404120443740154E-2</v>
      </c>
      <c r="Z51" s="9">
        <f t="shared" si="3"/>
        <v>2.2821576763485556E-2</v>
      </c>
      <c r="AA51" s="9">
        <f t="shared" si="4"/>
        <v>6.3171193935565376E-3</v>
      </c>
      <c r="AB51" s="9">
        <f t="shared" si="5"/>
        <v>8.5287846481877545E-3</v>
      </c>
      <c r="AC51" s="9">
        <f t="shared" si="6"/>
        <v>-1.2547051442911986E-3</v>
      </c>
      <c r="AD51" s="9">
        <f t="shared" si="7"/>
        <v>2.0040080160321403E-3</v>
      </c>
      <c r="AE51" s="9">
        <f t="shared" si="8"/>
        <v>-1.006922592825673E-2</v>
      </c>
    </row>
    <row r="52" spans="2:31" x14ac:dyDescent="0.35">
      <c r="B52" s="15" t="s">
        <v>34</v>
      </c>
      <c r="C52" s="15">
        <v>2021</v>
      </c>
      <c r="D52" s="15" t="s">
        <v>35</v>
      </c>
      <c r="E52" s="26">
        <v>144.30000000000001</v>
      </c>
      <c r="F52" s="15">
        <v>186.5</v>
      </c>
      <c r="G52" s="15">
        <v>168.7</v>
      </c>
      <c r="H52" s="5">
        <v>154.69999999999999</v>
      </c>
      <c r="I52" s="5">
        <v>158.69999999999999</v>
      </c>
      <c r="J52" s="5">
        <v>150.69999999999999</v>
      </c>
      <c r="K52" s="5">
        <v>160</v>
      </c>
      <c r="L52" s="5">
        <v>158.80000000000001</v>
      </c>
      <c r="M52" s="5">
        <v>164.2</v>
      </c>
      <c r="N52" s="27">
        <f t="shared" si="1"/>
        <v>1446.6000000000001</v>
      </c>
      <c r="O52" s="15">
        <v>152.4</v>
      </c>
      <c r="P52" s="15">
        <v>161.30000000000001</v>
      </c>
      <c r="Q52" s="15">
        <v>145.1</v>
      </c>
      <c r="R52" s="15">
        <v>159.5</v>
      </c>
      <c r="S52" s="15">
        <v>150.9</v>
      </c>
      <c r="T52" s="15">
        <v>156.6</v>
      </c>
      <c r="V52" s="15">
        <v>2021</v>
      </c>
      <c r="W52" s="15" t="s">
        <v>35</v>
      </c>
      <c r="X52" s="15" t="str">
        <f t="shared" si="0"/>
        <v>February 2021</v>
      </c>
      <c r="Y52" s="9">
        <f t="shared" si="2"/>
        <v>-2.4873609706774429E-2</v>
      </c>
      <c r="Z52" s="9">
        <f t="shared" si="3"/>
        <v>3.0425963488843813E-2</v>
      </c>
      <c r="AA52" s="9">
        <f t="shared" si="4"/>
        <v>1.2554927809165096E-2</v>
      </c>
      <c r="AB52" s="9">
        <f t="shared" si="5"/>
        <v>2.2551092318534097E-2</v>
      </c>
      <c r="AC52" s="9">
        <f t="shared" si="6"/>
        <v>1.8844221105528353E-3</v>
      </c>
      <c r="AD52" s="9">
        <f t="shared" si="7"/>
        <v>6.0000000000000383E-3</v>
      </c>
      <c r="AE52" s="9">
        <f t="shared" si="8"/>
        <v>-4.4500953591863762E-3</v>
      </c>
    </row>
    <row r="53" spans="2:31" x14ac:dyDescent="0.35">
      <c r="B53" s="15" t="s">
        <v>34</v>
      </c>
      <c r="C53" s="15">
        <v>2021</v>
      </c>
      <c r="D53" s="15" t="s">
        <v>36</v>
      </c>
      <c r="E53" s="26">
        <v>144.1</v>
      </c>
      <c r="F53" s="15">
        <v>192.2</v>
      </c>
      <c r="G53" s="15">
        <v>163.80000000000001</v>
      </c>
      <c r="H53" s="5">
        <v>154.9</v>
      </c>
      <c r="I53" s="5">
        <v>163.9</v>
      </c>
      <c r="J53" s="5">
        <v>153.69999999999999</v>
      </c>
      <c r="K53" s="5">
        <v>149.5</v>
      </c>
      <c r="L53" s="5">
        <v>159.80000000000001</v>
      </c>
      <c r="M53" s="5">
        <v>163.5</v>
      </c>
      <c r="N53" s="27">
        <f t="shared" si="1"/>
        <v>1445.3999999999999</v>
      </c>
      <c r="O53" s="15">
        <v>155.5</v>
      </c>
      <c r="P53" s="15">
        <v>161.69999999999999</v>
      </c>
      <c r="Q53" s="15">
        <v>146.19999999999999</v>
      </c>
      <c r="R53" s="15">
        <v>160.19999999999999</v>
      </c>
      <c r="S53" s="15">
        <v>151.19999999999999</v>
      </c>
      <c r="T53" s="15">
        <v>156.80000000000001</v>
      </c>
      <c r="V53" s="15">
        <v>2021</v>
      </c>
      <c r="W53" s="15" t="s">
        <v>36</v>
      </c>
      <c r="X53" s="15" t="str">
        <f t="shared" si="0"/>
        <v>March 2021</v>
      </c>
      <c r="Y53" s="9">
        <f t="shared" si="2"/>
        <v>-8.2953131480732246E-4</v>
      </c>
      <c r="Z53" s="9">
        <f t="shared" si="3"/>
        <v>2.0341207349081326E-2</v>
      </c>
      <c r="AA53" s="9">
        <f t="shared" si="4"/>
        <v>2.4798512089273233E-3</v>
      </c>
      <c r="AB53" s="9">
        <f t="shared" si="5"/>
        <v>7.5809786354238068E-3</v>
      </c>
      <c r="AC53" s="9">
        <f t="shared" si="6"/>
        <v>4.3887147335422488E-3</v>
      </c>
      <c r="AD53" s="9">
        <f t="shared" si="7"/>
        <v>1.9880715705764278E-3</v>
      </c>
      <c r="AE53" s="9">
        <f t="shared" si="8"/>
        <v>1.2771392081737999E-3</v>
      </c>
    </row>
    <row r="54" spans="2:31" x14ac:dyDescent="0.35">
      <c r="B54" s="15" t="s">
        <v>34</v>
      </c>
      <c r="C54" s="15">
        <v>2021</v>
      </c>
      <c r="D54" s="15" t="s">
        <v>37</v>
      </c>
      <c r="E54" s="26">
        <v>144.30000000000001</v>
      </c>
      <c r="F54" s="15">
        <v>198</v>
      </c>
      <c r="G54" s="15">
        <v>164.6</v>
      </c>
      <c r="H54" s="5">
        <v>155.4</v>
      </c>
      <c r="I54" s="5">
        <v>170.1</v>
      </c>
      <c r="J54" s="5">
        <v>164.4</v>
      </c>
      <c r="K54" s="5">
        <v>144.1</v>
      </c>
      <c r="L54" s="5">
        <v>161.69999999999999</v>
      </c>
      <c r="M54" s="5">
        <v>163.9</v>
      </c>
      <c r="N54" s="27">
        <f t="shared" si="1"/>
        <v>1466.5</v>
      </c>
      <c r="O54" s="15">
        <v>155.6</v>
      </c>
      <c r="P54" s="15">
        <v>162.30000000000001</v>
      </c>
      <c r="Q54" s="15">
        <v>146.6</v>
      </c>
      <c r="R54" s="15">
        <v>160.30000000000001</v>
      </c>
      <c r="S54" s="15">
        <v>151.80000000000001</v>
      </c>
      <c r="T54" s="15">
        <v>157.80000000000001</v>
      </c>
      <c r="V54" s="15">
        <v>2021</v>
      </c>
      <c r="W54" s="15" t="s">
        <v>37</v>
      </c>
      <c r="X54" s="15" t="str">
        <f t="shared" si="0"/>
        <v>April 2021</v>
      </c>
      <c r="Y54" s="9">
        <f t="shared" si="2"/>
        <v>1.4598035145980447E-2</v>
      </c>
      <c r="Z54" s="9">
        <f t="shared" si="3"/>
        <v>6.4308681672022071E-4</v>
      </c>
      <c r="AA54" s="9">
        <f t="shared" si="4"/>
        <v>3.7105751391467087E-3</v>
      </c>
      <c r="AB54" s="9">
        <f t="shared" si="5"/>
        <v>2.7359781121751416E-3</v>
      </c>
      <c r="AC54" s="9">
        <f t="shared" si="6"/>
        <v>6.2421972534346278E-4</v>
      </c>
      <c r="AD54" s="9">
        <f t="shared" si="7"/>
        <v>3.968253968254119E-3</v>
      </c>
      <c r="AE54" s="9">
        <f t="shared" si="8"/>
        <v>6.3775510204081625E-3</v>
      </c>
    </row>
    <row r="55" spans="2:31" x14ac:dyDescent="0.35">
      <c r="B55" s="15" t="s">
        <v>34</v>
      </c>
      <c r="C55" s="15">
        <v>2021</v>
      </c>
      <c r="D55" s="15" t="s">
        <v>38</v>
      </c>
      <c r="E55" s="26">
        <v>146.30000000000001</v>
      </c>
      <c r="F55" s="15">
        <v>200.5</v>
      </c>
      <c r="G55" s="15">
        <v>170.3</v>
      </c>
      <c r="H55" s="5">
        <v>156.1</v>
      </c>
      <c r="I55" s="5">
        <v>178.7</v>
      </c>
      <c r="J55" s="5">
        <v>167.1</v>
      </c>
      <c r="K55" s="5">
        <v>147.9</v>
      </c>
      <c r="L55" s="5">
        <v>165.4</v>
      </c>
      <c r="M55" s="5">
        <v>168.2</v>
      </c>
      <c r="N55" s="27">
        <f t="shared" si="1"/>
        <v>1500.5000000000002</v>
      </c>
      <c r="O55" s="15">
        <v>159.4</v>
      </c>
      <c r="P55" s="15">
        <v>165.8</v>
      </c>
      <c r="Q55" s="15">
        <v>148.9</v>
      </c>
      <c r="R55" s="15">
        <v>161.19999999999999</v>
      </c>
      <c r="S55" s="15">
        <v>154.69999999999999</v>
      </c>
      <c r="T55" s="15">
        <v>160.4</v>
      </c>
      <c r="V55" s="15">
        <v>2021</v>
      </c>
      <c r="W55" s="15" t="s">
        <v>38</v>
      </c>
      <c r="X55" s="15" t="str">
        <f t="shared" si="0"/>
        <v>May 2021</v>
      </c>
      <c r="Y55" s="9">
        <f t="shared" si="2"/>
        <v>2.3184452778725009E-2</v>
      </c>
      <c r="Z55" s="9">
        <f t="shared" si="3"/>
        <v>2.4421593830334265E-2</v>
      </c>
      <c r="AA55" s="9">
        <f t="shared" si="4"/>
        <v>2.1565003080714726E-2</v>
      </c>
      <c r="AB55" s="9">
        <f t="shared" si="5"/>
        <v>1.568894952251031E-2</v>
      </c>
      <c r="AC55" s="9">
        <f t="shared" si="6"/>
        <v>5.6144728633810183E-3</v>
      </c>
      <c r="AD55" s="9">
        <f t="shared" si="7"/>
        <v>1.9104084321475475E-2</v>
      </c>
      <c r="AE55" s="9">
        <f t="shared" si="8"/>
        <v>1.6476552598225565E-2</v>
      </c>
    </row>
    <row r="56" spans="2:31" x14ac:dyDescent="0.35">
      <c r="B56" s="15" t="s">
        <v>34</v>
      </c>
      <c r="C56" s="15">
        <v>2021</v>
      </c>
      <c r="D56" s="15" t="s">
        <v>39</v>
      </c>
      <c r="E56" s="26">
        <v>146.69999999999999</v>
      </c>
      <c r="F56" s="15">
        <v>202</v>
      </c>
      <c r="G56" s="15">
        <v>180.7</v>
      </c>
      <c r="H56" s="5">
        <v>156.19999999999999</v>
      </c>
      <c r="I56" s="5">
        <v>183.7</v>
      </c>
      <c r="J56" s="5">
        <v>164.6</v>
      </c>
      <c r="K56" s="5">
        <v>155.4</v>
      </c>
      <c r="L56" s="5">
        <v>166</v>
      </c>
      <c r="M56" s="5">
        <v>168.5</v>
      </c>
      <c r="N56" s="27">
        <f t="shared" si="1"/>
        <v>1523.8</v>
      </c>
      <c r="O56" s="15">
        <v>159.80000000000001</v>
      </c>
      <c r="P56" s="15">
        <v>166.3</v>
      </c>
      <c r="Q56" s="15">
        <v>150.69999999999999</v>
      </c>
      <c r="R56" s="15">
        <v>161.69999999999999</v>
      </c>
      <c r="S56" s="15">
        <v>154.80000000000001</v>
      </c>
      <c r="T56" s="15">
        <v>161.30000000000001</v>
      </c>
      <c r="V56" s="15">
        <v>2021</v>
      </c>
      <c r="W56" s="15" t="s">
        <v>39</v>
      </c>
      <c r="X56" s="15" t="str">
        <f t="shared" si="0"/>
        <v>June 2021</v>
      </c>
      <c r="Y56" s="9">
        <f t="shared" si="2"/>
        <v>1.5528157280906181E-2</v>
      </c>
      <c r="Z56" s="9">
        <f t="shared" si="3"/>
        <v>2.5094102885822186E-3</v>
      </c>
      <c r="AA56" s="9">
        <f t="shared" si="4"/>
        <v>3.0156815440289505E-3</v>
      </c>
      <c r="AB56" s="9">
        <f t="shared" si="5"/>
        <v>1.2088650100738636E-2</v>
      </c>
      <c r="AC56" s="9">
        <f t="shared" si="6"/>
        <v>3.1017369727047149E-3</v>
      </c>
      <c r="AD56" s="9">
        <f t="shared" si="7"/>
        <v>6.4641241111844047E-4</v>
      </c>
      <c r="AE56" s="9">
        <f t="shared" si="8"/>
        <v>5.6109725685785893E-3</v>
      </c>
    </row>
    <row r="57" spans="2:31" x14ac:dyDescent="0.35">
      <c r="B57" s="15" t="s">
        <v>34</v>
      </c>
      <c r="C57" s="15">
        <v>2021</v>
      </c>
      <c r="D57" s="15" t="s">
        <v>40</v>
      </c>
      <c r="E57" s="26">
        <v>146.4</v>
      </c>
      <c r="F57" s="15">
        <v>206.8</v>
      </c>
      <c r="G57" s="15">
        <v>182.2</v>
      </c>
      <c r="H57" s="5">
        <v>157.5</v>
      </c>
      <c r="I57" s="5">
        <v>182.1</v>
      </c>
      <c r="J57" s="5">
        <v>163.9</v>
      </c>
      <c r="K57" s="5">
        <v>164.2</v>
      </c>
      <c r="L57" s="5">
        <v>164</v>
      </c>
      <c r="M57" s="5">
        <v>168.3</v>
      </c>
      <c r="N57" s="27">
        <f t="shared" si="1"/>
        <v>1535.4</v>
      </c>
      <c r="O57" s="15">
        <v>160.69999999999999</v>
      </c>
      <c r="P57" s="15">
        <v>167</v>
      </c>
      <c r="Q57" s="15">
        <v>153.1</v>
      </c>
      <c r="R57" s="15">
        <v>163.19999999999999</v>
      </c>
      <c r="S57" s="15">
        <v>155.80000000000001</v>
      </c>
      <c r="T57" s="15">
        <v>162.5</v>
      </c>
      <c r="V57" s="15">
        <v>2021</v>
      </c>
      <c r="W57" s="15" t="s">
        <v>40</v>
      </c>
      <c r="X57" s="15" t="str">
        <f t="shared" si="0"/>
        <v>July 2021</v>
      </c>
      <c r="Y57" s="9">
        <f t="shared" si="2"/>
        <v>7.6125475784224548E-3</v>
      </c>
      <c r="Z57" s="9">
        <f t="shared" si="3"/>
        <v>5.6320400500624356E-3</v>
      </c>
      <c r="AA57" s="9">
        <f t="shared" si="4"/>
        <v>4.2092603728201361E-3</v>
      </c>
      <c r="AB57" s="9">
        <f t="shared" si="5"/>
        <v>1.5925680159256841E-2</v>
      </c>
      <c r="AC57" s="9">
        <f t="shared" si="6"/>
        <v>9.2764378478664197E-3</v>
      </c>
      <c r="AD57" s="9">
        <f t="shared" si="7"/>
        <v>6.4599483204134363E-3</v>
      </c>
      <c r="AE57" s="9">
        <f t="shared" si="8"/>
        <v>7.439553626782322E-3</v>
      </c>
    </row>
    <row r="58" spans="2:31" x14ac:dyDescent="0.35">
      <c r="B58" s="15" t="s">
        <v>34</v>
      </c>
      <c r="C58" s="15">
        <v>2021</v>
      </c>
      <c r="D58" s="15" t="s">
        <v>41</v>
      </c>
      <c r="E58" s="26">
        <v>146.6</v>
      </c>
      <c r="F58" s="15">
        <v>204</v>
      </c>
      <c r="G58" s="15">
        <v>172.8</v>
      </c>
      <c r="H58" s="5">
        <v>158.4</v>
      </c>
      <c r="I58" s="5">
        <v>188</v>
      </c>
      <c r="J58" s="5">
        <v>156.80000000000001</v>
      </c>
      <c r="K58" s="5">
        <v>162.19999999999999</v>
      </c>
      <c r="L58" s="5">
        <v>164.1</v>
      </c>
      <c r="M58" s="5">
        <v>168.8</v>
      </c>
      <c r="N58" s="27">
        <f t="shared" si="1"/>
        <v>1521.7</v>
      </c>
      <c r="O58" s="15">
        <v>162.6</v>
      </c>
      <c r="P58" s="15">
        <v>168.4</v>
      </c>
      <c r="Q58" s="15">
        <v>154</v>
      </c>
      <c r="R58" s="15">
        <v>163.80000000000001</v>
      </c>
      <c r="S58" s="15">
        <v>157.5</v>
      </c>
      <c r="T58" s="15">
        <v>163.19999999999999</v>
      </c>
      <c r="V58" s="15">
        <v>2021</v>
      </c>
      <c r="W58" s="15" t="s">
        <v>41</v>
      </c>
      <c r="X58" s="15" t="str">
        <f t="shared" si="0"/>
        <v>August 2021</v>
      </c>
      <c r="Y58" s="9">
        <f t="shared" si="2"/>
        <v>-8.9227562850071936E-3</v>
      </c>
      <c r="Z58" s="9">
        <f t="shared" si="3"/>
        <v>1.1823273179838244E-2</v>
      </c>
      <c r="AA58" s="9">
        <f t="shared" si="4"/>
        <v>8.3832335329341659E-3</v>
      </c>
      <c r="AB58" s="9">
        <f t="shared" si="5"/>
        <v>5.8785107772697954E-3</v>
      </c>
      <c r="AC58" s="9">
        <f t="shared" si="6"/>
        <v>3.6764705882354337E-3</v>
      </c>
      <c r="AD58" s="9">
        <f t="shared" si="7"/>
        <v>1.0911424903722648E-2</v>
      </c>
      <c r="AE58" s="9">
        <f t="shared" si="8"/>
        <v>4.3076923076922381E-3</v>
      </c>
    </row>
    <row r="59" spans="2:31" x14ac:dyDescent="0.35">
      <c r="B59" s="15" t="s">
        <v>34</v>
      </c>
      <c r="C59" s="15">
        <v>2021</v>
      </c>
      <c r="D59" s="15" t="s">
        <v>42</v>
      </c>
      <c r="E59" s="26">
        <v>146.6</v>
      </c>
      <c r="F59" s="15">
        <v>204</v>
      </c>
      <c r="G59" s="15">
        <v>172.8</v>
      </c>
      <c r="H59" s="5">
        <v>158.4</v>
      </c>
      <c r="I59" s="5">
        <v>188</v>
      </c>
      <c r="J59" s="5">
        <v>156.69999999999999</v>
      </c>
      <c r="K59" s="5">
        <v>162.30000000000001</v>
      </c>
      <c r="L59" s="5">
        <v>164.1</v>
      </c>
      <c r="M59" s="5">
        <v>168.8</v>
      </c>
      <c r="N59" s="27">
        <f t="shared" si="1"/>
        <v>1521.6999999999998</v>
      </c>
      <c r="O59" s="15">
        <v>162.6</v>
      </c>
      <c r="P59" s="15">
        <v>168.4</v>
      </c>
      <c r="Q59" s="15">
        <v>154</v>
      </c>
      <c r="R59" s="15">
        <v>163.69999999999999</v>
      </c>
      <c r="S59" s="15">
        <v>157.5</v>
      </c>
      <c r="T59" s="15">
        <v>163.19999999999999</v>
      </c>
      <c r="V59" s="15">
        <v>2021</v>
      </c>
      <c r="W59" s="15" t="s">
        <v>42</v>
      </c>
      <c r="X59" s="15" t="str">
        <f t="shared" si="0"/>
        <v>September 2021</v>
      </c>
      <c r="Y59" s="9">
        <f t="shared" si="2"/>
        <v>-1.4942082896972601E-16</v>
      </c>
      <c r="Z59" s="9">
        <f t="shared" si="3"/>
        <v>0</v>
      </c>
      <c r="AA59" s="9">
        <f t="shared" si="4"/>
        <v>0</v>
      </c>
      <c r="AB59" s="9">
        <f t="shared" si="5"/>
        <v>0</v>
      </c>
      <c r="AC59" s="9">
        <f t="shared" si="6"/>
        <v>-6.1050061050074928E-4</v>
      </c>
      <c r="AD59" s="9">
        <f t="shared" si="7"/>
        <v>0</v>
      </c>
      <c r="AE59" s="9">
        <f t="shared" si="8"/>
        <v>0</v>
      </c>
    </row>
    <row r="60" spans="2:31" x14ac:dyDescent="0.35">
      <c r="B60" s="15" t="s">
        <v>34</v>
      </c>
      <c r="C60" s="15">
        <v>2021</v>
      </c>
      <c r="D60" s="15" t="s">
        <v>43</v>
      </c>
      <c r="E60" s="26">
        <v>147.4</v>
      </c>
      <c r="F60" s="15">
        <v>204.6</v>
      </c>
      <c r="G60" s="15">
        <v>171.2</v>
      </c>
      <c r="H60" s="5">
        <v>158.69999999999999</v>
      </c>
      <c r="I60" s="5">
        <v>190.6</v>
      </c>
      <c r="J60" s="5">
        <v>155.69999999999999</v>
      </c>
      <c r="K60" s="5">
        <v>185.3</v>
      </c>
      <c r="L60" s="5">
        <v>165.2</v>
      </c>
      <c r="M60" s="5">
        <v>169.3</v>
      </c>
      <c r="N60" s="27">
        <f t="shared" si="1"/>
        <v>1548</v>
      </c>
      <c r="O60" s="15">
        <v>164.2</v>
      </c>
      <c r="P60" s="15">
        <v>169.1</v>
      </c>
      <c r="Q60" s="15">
        <v>155.69999999999999</v>
      </c>
      <c r="R60" s="15">
        <v>163.9</v>
      </c>
      <c r="S60" s="15">
        <v>158.4</v>
      </c>
      <c r="T60" s="15">
        <v>165.5</v>
      </c>
      <c r="V60" s="15">
        <v>2021</v>
      </c>
      <c r="W60" s="15" t="s">
        <v>43</v>
      </c>
      <c r="X60" s="15" t="str">
        <f t="shared" si="0"/>
        <v>October 2021</v>
      </c>
      <c r="Y60" s="9">
        <f t="shared" si="2"/>
        <v>1.7283301570611937E-2</v>
      </c>
      <c r="Z60" s="9">
        <f t="shared" si="3"/>
        <v>9.8400984009839754E-3</v>
      </c>
      <c r="AA60" s="9">
        <f t="shared" si="4"/>
        <v>4.1567695961994573E-3</v>
      </c>
      <c r="AB60" s="9">
        <f t="shared" si="5"/>
        <v>1.1038961038960965E-2</v>
      </c>
      <c r="AC60" s="9">
        <f t="shared" si="6"/>
        <v>1.2217470983507458E-3</v>
      </c>
      <c r="AD60" s="9">
        <f t="shared" si="7"/>
        <v>5.7142857142857507E-3</v>
      </c>
      <c r="AE60" s="9">
        <f t="shared" si="8"/>
        <v>1.4093137254902032E-2</v>
      </c>
    </row>
    <row r="61" spans="2:31" x14ac:dyDescent="0.35">
      <c r="B61" s="15" t="s">
        <v>34</v>
      </c>
      <c r="C61" s="15">
        <v>2021</v>
      </c>
      <c r="D61" s="15" t="s">
        <v>45</v>
      </c>
      <c r="E61" s="26">
        <v>148.19999999999999</v>
      </c>
      <c r="F61" s="15">
        <v>201.6</v>
      </c>
      <c r="G61" s="15">
        <v>173</v>
      </c>
      <c r="H61" s="5">
        <v>159.30000000000001</v>
      </c>
      <c r="I61" s="5">
        <v>190.1</v>
      </c>
      <c r="J61" s="5">
        <v>156.5</v>
      </c>
      <c r="K61" s="5">
        <v>199.2</v>
      </c>
      <c r="L61" s="5">
        <v>165.3</v>
      </c>
      <c r="M61" s="5">
        <v>169.6</v>
      </c>
      <c r="N61" s="27">
        <f t="shared" si="1"/>
        <v>1562.7999999999997</v>
      </c>
      <c r="O61" s="15">
        <v>163.9</v>
      </c>
      <c r="P61" s="15">
        <v>169.9</v>
      </c>
      <c r="Q61" s="15">
        <v>154.80000000000001</v>
      </c>
      <c r="R61" s="15">
        <v>164.3</v>
      </c>
      <c r="S61" s="15">
        <v>159.30000000000001</v>
      </c>
      <c r="T61" s="15">
        <v>166.7</v>
      </c>
      <c r="V61" s="15">
        <v>2021</v>
      </c>
      <c r="W61" s="15" t="s">
        <v>45</v>
      </c>
      <c r="X61" s="15" t="str">
        <f t="shared" si="0"/>
        <v>November 2021</v>
      </c>
      <c r="Y61" s="9">
        <f t="shared" si="2"/>
        <v>9.5607235142117098E-3</v>
      </c>
      <c r="Z61" s="9">
        <f t="shared" si="3"/>
        <v>-1.8270401948841837E-3</v>
      </c>
      <c r="AA61" s="9">
        <f t="shared" si="4"/>
        <v>4.730928444707341E-3</v>
      </c>
      <c r="AB61" s="9">
        <f t="shared" si="5"/>
        <v>-5.7803468208091026E-3</v>
      </c>
      <c r="AC61" s="9">
        <f t="shared" si="6"/>
        <v>2.4405125076266362E-3</v>
      </c>
      <c r="AD61" s="9">
        <f t="shared" si="7"/>
        <v>5.6818181818182175E-3</v>
      </c>
      <c r="AE61" s="9">
        <f t="shared" si="8"/>
        <v>7.2507552870089949E-3</v>
      </c>
    </row>
    <row r="62" spans="2:31" x14ac:dyDescent="0.35">
      <c r="B62" s="15" t="s">
        <v>34</v>
      </c>
      <c r="C62" s="15">
        <v>2021</v>
      </c>
      <c r="D62" s="15" t="s">
        <v>46</v>
      </c>
      <c r="E62" s="26">
        <v>148.69999999999999</v>
      </c>
      <c r="F62" s="15">
        <v>198.8</v>
      </c>
      <c r="G62" s="15">
        <v>177.9</v>
      </c>
      <c r="H62" s="5">
        <v>159.9</v>
      </c>
      <c r="I62" s="5">
        <v>187.6</v>
      </c>
      <c r="J62" s="5">
        <v>154.9</v>
      </c>
      <c r="K62" s="5">
        <v>188.3</v>
      </c>
      <c r="L62" s="5">
        <v>164.4</v>
      </c>
      <c r="M62" s="5">
        <v>170.5</v>
      </c>
      <c r="N62" s="27">
        <f t="shared" si="1"/>
        <v>1551</v>
      </c>
      <c r="O62" s="15">
        <v>164.1</v>
      </c>
      <c r="P62" s="15">
        <v>170.6</v>
      </c>
      <c r="Q62" s="15">
        <v>155.69999999999999</v>
      </c>
      <c r="R62" s="15">
        <v>164.4</v>
      </c>
      <c r="S62" s="15">
        <v>160.19999999999999</v>
      </c>
      <c r="T62" s="15">
        <v>166.2</v>
      </c>
      <c r="V62" s="15">
        <v>2021</v>
      </c>
      <c r="W62" s="15" t="s">
        <v>46</v>
      </c>
      <c r="X62" s="15" t="str">
        <f t="shared" si="0"/>
        <v>December 2021</v>
      </c>
      <c r="Y62" s="9">
        <f t="shared" si="2"/>
        <v>-7.5505502943433124E-3</v>
      </c>
      <c r="Z62" s="9">
        <f t="shared" si="3"/>
        <v>1.2202562538132314E-3</v>
      </c>
      <c r="AA62" s="9">
        <f t="shared" si="4"/>
        <v>4.1200706297821578E-3</v>
      </c>
      <c r="AB62" s="9">
        <f t="shared" si="5"/>
        <v>5.8139534883719455E-3</v>
      </c>
      <c r="AC62" s="9">
        <f t="shared" si="6"/>
        <v>6.0864272671938102E-4</v>
      </c>
      <c r="AD62" s="9">
        <f t="shared" si="7"/>
        <v>5.6497175141241507E-3</v>
      </c>
      <c r="AE62" s="9">
        <f t="shared" si="8"/>
        <v>-2.999400119976005E-3</v>
      </c>
    </row>
    <row r="63" spans="2:31" x14ac:dyDescent="0.35">
      <c r="B63" s="15" t="s">
        <v>34</v>
      </c>
      <c r="C63" s="15">
        <v>2022</v>
      </c>
      <c r="D63" s="15" t="s">
        <v>31</v>
      </c>
      <c r="E63" s="26">
        <v>149.5</v>
      </c>
      <c r="F63" s="15">
        <v>198.7</v>
      </c>
      <c r="G63" s="15">
        <v>178.8</v>
      </c>
      <c r="H63" s="5">
        <v>160.5</v>
      </c>
      <c r="I63" s="5">
        <v>184.7</v>
      </c>
      <c r="J63" s="5">
        <v>153.69999999999999</v>
      </c>
      <c r="K63" s="5">
        <v>174.3</v>
      </c>
      <c r="L63" s="5">
        <v>163.9</v>
      </c>
      <c r="M63" s="5">
        <v>172.1</v>
      </c>
      <c r="N63" s="27">
        <f t="shared" si="1"/>
        <v>1536.2</v>
      </c>
      <c r="O63" s="15">
        <v>164.2</v>
      </c>
      <c r="P63" s="15">
        <v>171.4</v>
      </c>
      <c r="Q63" s="15">
        <v>156.5</v>
      </c>
      <c r="R63" s="15">
        <v>164.7</v>
      </c>
      <c r="S63" s="15">
        <v>161.1</v>
      </c>
      <c r="T63" s="15">
        <v>165.7</v>
      </c>
      <c r="V63" s="15">
        <v>2022</v>
      </c>
      <c r="W63" s="15" t="s">
        <v>31</v>
      </c>
      <c r="X63" s="15" t="str">
        <f t="shared" si="0"/>
        <v>January 2022</v>
      </c>
      <c r="Y63" s="9">
        <f t="shared" si="2"/>
        <v>-9.5422308188265349E-3</v>
      </c>
      <c r="Z63" s="9">
        <f t="shared" si="3"/>
        <v>6.0938452163311586E-4</v>
      </c>
      <c r="AA63" s="9">
        <f t="shared" si="4"/>
        <v>4.6893317702228097E-3</v>
      </c>
      <c r="AB63" s="9">
        <f t="shared" si="5"/>
        <v>5.1380860629416276E-3</v>
      </c>
      <c r="AC63" s="9">
        <f t="shared" si="6"/>
        <v>1.8248175182480715E-3</v>
      </c>
      <c r="AD63" s="9">
        <f t="shared" si="7"/>
        <v>5.6179775280899239E-3</v>
      </c>
      <c r="AE63" s="9">
        <f t="shared" si="8"/>
        <v>-3.0084235860409147E-3</v>
      </c>
    </row>
    <row r="64" spans="2:31" x14ac:dyDescent="0.35">
      <c r="B64" s="15" t="s">
        <v>34</v>
      </c>
      <c r="C64" s="15">
        <v>2022</v>
      </c>
      <c r="D64" s="15" t="s">
        <v>35</v>
      </c>
      <c r="E64" s="26">
        <v>150</v>
      </c>
      <c r="F64" s="15">
        <v>200.6</v>
      </c>
      <c r="G64" s="15">
        <v>175.8</v>
      </c>
      <c r="H64" s="5">
        <v>160.69999999999999</v>
      </c>
      <c r="I64" s="5">
        <v>184.9</v>
      </c>
      <c r="J64" s="5">
        <v>153.69999999999999</v>
      </c>
      <c r="K64" s="5">
        <v>169.7</v>
      </c>
      <c r="L64" s="5">
        <v>163.69999999999999</v>
      </c>
      <c r="M64" s="5">
        <v>174.3</v>
      </c>
      <c r="N64" s="27">
        <f t="shared" si="1"/>
        <v>1533.4</v>
      </c>
      <c r="O64" s="15">
        <v>165.7</v>
      </c>
      <c r="P64" s="15">
        <v>172.2</v>
      </c>
      <c r="Q64" s="15">
        <v>156.9</v>
      </c>
      <c r="R64" s="15">
        <v>165.4</v>
      </c>
      <c r="S64" s="15">
        <v>161.80000000000001</v>
      </c>
      <c r="T64" s="15">
        <v>166.1</v>
      </c>
      <c r="V64" s="15">
        <v>2022</v>
      </c>
      <c r="W64" s="15" t="s">
        <v>35</v>
      </c>
      <c r="X64" s="15" t="str">
        <f t="shared" si="0"/>
        <v>February 2022</v>
      </c>
      <c r="Y64" s="9">
        <f t="shared" si="2"/>
        <v>-1.8226793386277532E-3</v>
      </c>
      <c r="Z64" s="9">
        <f t="shared" si="3"/>
        <v>9.1352009744214372E-3</v>
      </c>
      <c r="AA64" s="9">
        <f t="shared" si="4"/>
        <v>4.6674445740955833E-3</v>
      </c>
      <c r="AB64" s="9">
        <f t="shared" si="5"/>
        <v>2.5559105431310269E-3</v>
      </c>
      <c r="AC64" s="9">
        <f t="shared" si="6"/>
        <v>4.2501517911355015E-3</v>
      </c>
      <c r="AD64" s="9">
        <f t="shared" si="7"/>
        <v>4.3451272501552896E-3</v>
      </c>
      <c r="AE64" s="9">
        <f t="shared" si="8"/>
        <v>2.4140012070006378E-3</v>
      </c>
    </row>
    <row r="65" spans="2:31" x14ac:dyDescent="0.35">
      <c r="B65" s="15" t="s">
        <v>34</v>
      </c>
      <c r="C65" s="15">
        <v>2022</v>
      </c>
      <c r="D65" s="15" t="s">
        <v>36</v>
      </c>
      <c r="E65" s="26">
        <v>151.30000000000001</v>
      </c>
      <c r="F65" s="15">
        <v>210.7</v>
      </c>
      <c r="G65" s="15">
        <v>167.8</v>
      </c>
      <c r="H65" s="5">
        <v>162.19999999999999</v>
      </c>
      <c r="I65" s="5">
        <v>194.6</v>
      </c>
      <c r="J65" s="5">
        <v>157.6</v>
      </c>
      <c r="K65" s="5">
        <v>166.9</v>
      </c>
      <c r="L65" s="5">
        <v>163.9</v>
      </c>
      <c r="M65" s="5">
        <v>177.4</v>
      </c>
      <c r="N65" s="27">
        <f t="shared" si="1"/>
        <v>1552.4000000000003</v>
      </c>
      <c r="O65" s="15">
        <v>167.2</v>
      </c>
      <c r="P65" s="15">
        <v>173</v>
      </c>
      <c r="Q65" s="15">
        <v>157.9</v>
      </c>
      <c r="R65" s="15">
        <v>166</v>
      </c>
      <c r="S65" s="15">
        <v>162.80000000000001</v>
      </c>
      <c r="T65" s="15">
        <v>167.7</v>
      </c>
      <c r="V65" s="15">
        <v>2022</v>
      </c>
      <c r="W65" s="15" t="s">
        <v>36</v>
      </c>
      <c r="X65" s="15" t="str">
        <f t="shared" si="0"/>
        <v>March 2022</v>
      </c>
      <c r="Y65" s="9">
        <f t="shared" si="2"/>
        <v>1.2390765618886282E-2</v>
      </c>
      <c r="Z65" s="9">
        <f t="shared" si="3"/>
        <v>9.0525045262522634E-3</v>
      </c>
      <c r="AA65" s="9">
        <f t="shared" si="4"/>
        <v>4.6457607433217848E-3</v>
      </c>
      <c r="AB65" s="9">
        <f t="shared" si="5"/>
        <v>6.3734862970044612E-3</v>
      </c>
      <c r="AC65" s="9">
        <f t="shared" si="6"/>
        <v>3.6275695284159267E-3</v>
      </c>
      <c r="AD65" s="9">
        <f t="shared" si="7"/>
        <v>6.180469715698393E-3</v>
      </c>
      <c r="AE65" s="9">
        <f t="shared" si="8"/>
        <v>9.6327513546056245E-3</v>
      </c>
    </row>
    <row r="66" spans="2:31" x14ac:dyDescent="0.35">
      <c r="B66" s="15" t="s">
        <v>34</v>
      </c>
      <c r="C66" s="15">
        <v>2022</v>
      </c>
      <c r="D66" s="15" t="s">
        <v>37</v>
      </c>
      <c r="E66" s="26">
        <v>152.9</v>
      </c>
      <c r="F66" s="15">
        <v>211.8</v>
      </c>
      <c r="G66" s="15">
        <v>164.5</v>
      </c>
      <c r="H66" s="5">
        <v>163.9</v>
      </c>
      <c r="I66" s="5">
        <v>199.5</v>
      </c>
      <c r="J66" s="5">
        <v>172.6</v>
      </c>
      <c r="K66" s="5">
        <v>166.2</v>
      </c>
      <c r="L66" s="5">
        <v>164.7</v>
      </c>
      <c r="M66" s="5">
        <v>181.3</v>
      </c>
      <c r="N66" s="27">
        <f t="shared" si="1"/>
        <v>1577.4</v>
      </c>
      <c r="O66" s="15">
        <v>172.2</v>
      </c>
      <c r="P66" s="15">
        <v>174</v>
      </c>
      <c r="Q66" s="15">
        <v>162.6</v>
      </c>
      <c r="R66" s="15">
        <v>166.9</v>
      </c>
      <c r="S66" s="15">
        <v>164</v>
      </c>
      <c r="T66" s="15">
        <v>170.1</v>
      </c>
      <c r="V66" s="15">
        <v>2022</v>
      </c>
      <c r="W66" s="15" t="s">
        <v>37</v>
      </c>
      <c r="X66" s="15" t="str">
        <f t="shared" si="0"/>
        <v>April 2022</v>
      </c>
      <c r="Y66" s="9">
        <f t="shared" si="2"/>
        <v>1.6104096882246694E-2</v>
      </c>
      <c r="Z66" s="9">
        <f t="shared" si="3"/>
        <v>2.9904306220095697E-2</v>
      </c>
      <c r="AA66" s="9">
        <f t="shared" si="4"/>
        <v>5.7803468208092483E-3</v>
      </c>
      <c r="AB66" s="9">
        <f t="shared" si="5"/>
        <v>2.9765674477517344E-2</v>
      </c>
      <c r="AC66" s="9">
        <f t="shared" si="6"/>
        <v>5.4216867469879864E-3</v>
      </c>
      <c r="AD66" s="9">
        <f t="shared" si="7"/>
        <v>7.371007371007301E-3</v>
      </c>
      <c r="AE66" s="9">
        <f t="shared" si="8"/>
        <v>1.4311270125223648E-2</v>
      </c>
    </row>
    <row r="67" spans="2:31" x14ac:dyDescent="0.35">
      <c r="B67" s="15" t="s">
        <v>34</v>
      </c>
      <c r="C67" s="15">
        <v>2022</v>
      </c>
      <c r="D67" s="15" t="s">
        <v>38</v>
      </c>
      <c r="E67" s="26">
        <v>154.1</v>
      </c>
      <c r="F67" s="15">
        <v>217</v>
      </c>
      <c r="G67" s="15">
        <v>162.4</v>
      </c>
      <c r="H67" s="5">
        <v>164.9</v>
      </c>
      <c r="I67" s="5">
        <v>202.4</v>
      </c>
      <c r="J67" s="5">
        <v>171</v>
      </c>
      <c r="K67" s="5">
        <v>174.9</v>
      </c>
      <c r="L67" s="5">
        <v>164.7</v>
      </c>
      <c r="M67" s="5">
        <v>184.9</v>
      </c>
      <c r="N67" s="27">
        <f t="shared" si="1"/>
        <v>1596.3000000000002</v>
      </c>
      <c r="O67" s="15">
        <v>174.6</v>
      </c>
      <c r="P67" s="15">
        <v>174.8</v>
      </c>
      <c r="Q67" s="15">
        <v>163</v>
      </c>
      <c r="R67" s="15">
        <v>167.9</v>
      </c>
      <c r="S67" s="15">
        <v>165.2</v>
      </c>
      <c r="T67" s="15">
        <v>171.7</v>
      </c>
      <c r="V67" s="15">
        <v>2022</v>
      </c>
      <c r="W67" s="15" t="s">
        <v>38</v>
      </c>
      <c r="X67" s="15" t="str">
        <f t="shared" si="0"/>
        <v>May 2022</v>
      </c>
      <c r="Y67" s="9">
        <f t="shared" si="2"/>
        <v>1.1981742107265176E-2</v>
      </c>
      <c r="Z67" s="9">
        <f t="shared" si="3"/>
        <v>1.3937282229965191E-2</v>
      </c>
      <c r="AA67" s="9">
        <f t="shared" si="4"/>
        <v>4.5977011494253523E-3</v>
      </c>
      <c r="AB67" s="9">
        <f t="shared" si="5"/>
        <v>2.4600246002460377E-3</v>
      </c>
      <c r="AC67" s="9">
        <f t="shared" si="6"/>
        <v>5.9916117435590173E-3</v>
      </c>
      <c r="AD67" s="9">
        <f t="shared" si="7"/>
        <v>7.3170731707316384E-3</v>
      </c>
      <c r="AE67" s="9">
        <f t="shared" si="8"/>
        <v>9.4062316284538178E-3</v>
      </c>
    </row>
    <row r="68" spans="2:31" x14ac:dyDescent="0.35">
      <c r="B68" s="15" t="s">
        <v>34</v>
      </c>
      <c r="C68" s="15">
        <v>2022</v>
      </c>
      <c r="D68" s="15" t="s">
        <v>39</v>
      </c>
      <c r="E68" s="26">
        <v>155</v>
      </c>
      <c r="F68" s="15">
        <v>219.4</v>
      </c>
      <c r="G68" s="15">
        <v>170.8</v>
      </c>
      <c r="H68" s="5">
        <v>165.8</v>
      </c>
      <c r="I68" s="5">
        <v>200.9</v>
      </c>
      <c r="J68" s="5">
        <v>169.7</v>
      </c>
      <c r="K68" s="5">
        <v>182.3</v>
      </c>
      <c r="L68" s="5">
        <v>164.3</v>
      </c>
      <c r="M68" s="5">
        <v>187.1</v>
      </c>
      <c r="N68" s="27">
        <f t="shared" si="1"/>
        <v>1615.2999999999997</v>
      </c>
      <c r="O68" s="15">
        <v>176</v>
      </c>
      <c r="P68" s="15">
        <v>175.4</v>
      </c>
      <c r="Q68" s="15">
        <v>161.1</v>
      </c>
      <c r="R68" s="15">
        <v>169</v>
      </c>
      <c r="S68" s="15">
        <v>166.4</v>
      </c>
      <c r="T68" s="15">
        <v>172.6</v>
      </c>
      <c r="V68" s="15">
        <v>2022</v>
      </c>
      <c r="W68" s="15" t="s">
        <v>39</v>
      </c>
      <c r="X68" s="15" t="str">
        <f t="shared" si="0"/>
        <v>June 2022</v>
      </c>
      <c r="Y68" s="9">
        <f t="shared" si="2"/>
        <v>1.1902524588109718E-2</v>
      </c>
      <c r="Z68" s="9">
        <f t="shared" si="3"/>
        <v>8.0183276059565042E-3</v>
      </c>
      <c r="AA68" s="9">
        <f t="shared" si="4"/>
        <v>3.4324942791761686E-3</v>
      </c>
      <c r="AB68" s="9">
        <f t="shared" si="5"/>
        <v>-1.1656441717791446E-2</v>
      </c>
      <c r="AC68" s="9">
        <f t="shared" si="6"/>
        <v>6.5515187611673272E-3</v>
      </c>
      <c r="AD68" s="9">
        <f t="shared" si="7"/>
        <v>7.2639225181599099E-3</v>
      </c>
      <c r="AE68" s="9">
        <f t="shared" si="8"/>
        <v>5.2417006406523343E-3</v>
      </c>
    </row>
    <row r="69" spans="2:31" x14ac:dyDescent="0.35">
      <c r="B69" s="15" t="s">
        <v>34</v>
      </c>
      <c r="C69" s="15">
        <v>2022</v>
      </c>
      <c r="D69" s="15" t="s">
        <v>40</v>
      </c>
      <c r="E69" s="26">
        <v>156.5</v>
      </c>
      <c r="F69" s="15">
        <v>213</v>
      </c>
      <c r="G69" s="15">
        <v>175.2</v>
      </c>
      <c r="H69" s="5">
        <v>166.6</v>
      </c>
      <c r="I69" s="5">
        <v>195.8</v>
      </c>
      <c r="J69" s="5">
        <v>174.2</v>
      </c>
      <c r="K69" s="5">
        <v>182.1</v>
      </c>
      <c r="L69" s="5">
        <v>164.3</v>
      </c>
      <c r="M69" s="5">
        <v>190</v>
      </c>
      <c r="N69" s="27">
        <f t="shared" si="1"/>
        <v>1617.7</v>
      </c>
      <c r="O69" s="15">
        <v>179.6</v>
      </c>
      <c r="P69" s="15">
        <v>176.1</v>
      </c>
      <c r="Q69" s="15">
        <v>161.6</v>
      </c>
      <c r="R69" s="15">
        <v>171.4</v>
      </c>
      <c r="S69" s="15">
        <v>167.4</v>
      </c>
      <c r="T69" s="15">
        <v>173.4</v>
      </c>
      <c r="V69" s="15">
        <v>2022</v>
      </c>
      <c r="W69" s="15" t="s">
        <v>40</v>
      </c>
      <c r="X69" s="15" t="str">
        <f t="shared" si="0"/>
        <v>July 2022</v>
      </c>
      <c r="Y69" s="9">
        <f t="shared" si="2"/>
        <v>1.485792112920398E-3</v>
      </c>
      <c r="Z69" s="9">
        <f t="shared" si="3"/>
        <v>2.0454545454545423E-2</v>
      </c>
      <c r="AA69" s="9">
        <f t="shared" si="4"/>
        <v>3.9908779931584299E-3</v>
      </c>
      <c r="AB69" s="9">
        <f t="shared" si="5"/>
        <v>3.1036623215394167E-3</v>
      </c>
      <c r="AC69" s="9">
        <f t="shared" si="6"/>
        <v>1.4201183431952697E-2</v>
      </c>
      <c r="AD69" s="9">
        <f t="shared" si="7"/>
        <v>6.0096153846153841E-3</v>
      </c>
      <c r="AE69" s="9">
        <f t="shared" si="8"/>
        <v>4.634994206257308E-3</v>
      </c>
    </row>
    <row r="70" spans="2:31" x14ac:dyDescent="0.35">
      <c r="B70" s="15" t="s">
        <v>34</v>
      </c>
      <c r="C70" s="15">
        <v>2022</v>
      </c>
      <c r="D70" s="15" t="s">
        <v>41</v>
      </c>
      <c r="E70" s="26">
        <v>160.30000000000001</v>
      </c>
      <c r="F70" s="15">
        <v>206.5</v>
      </c>
      <c r="G70" s="15">
        <v>169.2</v>
      </c>
      <c r="H70" s="5">
        <v>168.1</v>
      </c>
      <c r="I70" s="5">
        <v>192.4</v>
      </c>
      <c r="J70" s="5">
        <v>172.9</v>
      </c>
      <c r="K70" s="5">
        <v>186.7</v>
      </c>
      <c r="L70" s="5">
        <v>167.2</v>
      </c>
      <c r="M70" s="5">
        <v>193.6</v>
      </c>
      <c r="N70" s="27">
        <f t="shared" si="1"/>
        <v>1616.9</v>
      </c>
      <c r="O70" s="15">
        <v>178.8</v>
      </c>
      <c r="P70" s="15">
        <v>176.8</v>
      </c>
      <c r="Q70" s="15">
        <v>161.9</v>
      </c>
      <c r="R70" s="15">
        <v>172.3</v>
      </c>
      <c r="S70" s="15">
        <v>168.5</v>
      </c>
      <c r="T70" s="15">
        <v>174.3</v>
      </c>
      <c r="V70" s="15">
        <v>2022</v>
      </c>
      <c r="W70" s="15" t="s">
        <v>41</v>
      </c>
      <c r="X70" s="15" t="str">
        <f t="shared" ref="X70:X79" si="9">_xlfn.CONCAT(W70," ",V70)</f>
        <v>August 2022</v>
      </c>
      <c r="Y70" s="9">
        <f t="shared" si="2"/>
        <v>-4.9452926995113714E-4</v>
      </c>
      <c r="Z70" s="9">
        <f t="shared" si="3"/>
        <v>-4.4543429844097048E-3</v>
      </c>
      <c r="AA70" s="9">
        <f t="shared" si="4"/>
        <v>3.9750141964793699E-3</v>
      </c>
      <c r="AB70" s="9">
        <f t="shared" si="5"/>
        <v>1.8564356435644268E-3</v>
      </c>
      <c r="AC70" s="9">
        <f t="shared" si="6"/>
        <v>5.2508751458576761E-3</v>
      </c>
      <c r="AD70" s="9">
        <f t="shared" si="7"/>
        <v>6.571087216248472E-3</v>
      </c>
      <c r="AE70" s="9">
        <f t="shared" si="8"/>
        <v>5.1903114186851538E-3</v>
      </c>
    </row>
    <row r="71" spans="2:31" x14ac:dyDescent="0.35">
      <c r="B71" s="15" t="s">
        <v>34</v>
      </c>
      <c r="C71" s="15">
        <v>2022</v>
      </c>
      <c r="D71" s="15" t="s">
        <v>42</v>
      </c>
      <c r="E71" s="26">
        <v>163.5</v>
      </c>
      <c r="F71" s="15">
        <v>209.2</v>
      </c>
      <c r="G71" s="15">
        <v>169.7</v>
      </c>
      <c r="H71" s="5">
        <v>169.7</v>
      </c>
      <c r="I71" s="5">
        <v>188.7</v>
      </c>
      <c r="J71" s="5">
        <v>165.7</v>
      </c>
      <c r="K71" s="5">
        <v>191.8</v>
      </c>
      <c r="L71" s="5">
        <v>169.1</v>
      </c>
      <c r="M71" s="5">
        <v>197.3</v>
      </c>
      <c r="N71" s="27">
        <f t="shared" ref="N71:N79" si="10">SUM(E71:M71)</f>
        <v>1624.6999999999998</v>
      </c>
      <c r="O71" s="15">
        <v>179.5</v>
      </c>
      <c r="P71" s="15">
        <v>177.8</v>
      </c>
      <c r="Q71" s="15">
        <v>162.30000000000001</v>
      </c>
      <c r="R71" s="15">
        <v>173.1</v>
      </c>
      <c r="S71" s="15">
        <v>169.5</v>
      </c>
      <c r="T71" s="15">
        <v>175.3</v>
      </c>
      <c r="V71" s="15">
        <v>2022</v>
      </c>
      <c r="W71" s="15" t="s">
        <v>42</v>
      </c>
      <c r="X71" s="15" t="str">
        <f t="shared" si="9"/>
        <v>September 2022</v>
      </c>
      <c r="Y71" s="9">
        <f t="shared" si="2"/>
        <v>4.8240460139771955E-3</v>
      </c>
      <c r="Z71" s="9">
        <f t="shared" si="3"/>
        <v>3.9149888143176093E-3</v>
      </c>
      <c r="AA71" s="9">
        <f t="shared" si="4"/>
        <v>5.6561085972850677E-3</v>
      </c>
      <c r="AB71" s="9">
        <f t="shared" si="5"/>
        <v>2.470660901791264E-3</v>
      </c>
      <c r="AC71" s="9">
        <f t="shared" si="6"/>
        <v>4.6430644225187636E-3</v>
      </c>
      <c r="AD71" s="9">
        <f t="shared" si="7"/>
        <v>5.9347181008902079E-3</v>
      </c>
      <c r="AE71" s="9">
        <f t="shared" si="8"/>
        <v>5.737234652897303E-3</v>
      </c>
    </row>
    <row r="72" spans="2:31" x14ac:dyDescent="0.35">
      <c r="B72" s="15" t="s">
        <v>34</v>
      </c>
      <c r="C72" s="15">
        <v>2022</v>
      </c>
      <c r="D72" s="15" t="s">
        <v>43</v>
      </c>
      <c r="E72" s="26">
        <v>165.2</v>
      </c>
      <c r="F72" s="15">
        <v>210.9</v>
      </c>
      <c r="G72" s="15">
        <v>170.9</v>
      </c>
      <c r="H72" s="5">
        <v>170.9</v>
      </c>
      <c r="I72" s="5">
        <v>186.5</v>
      </c>
      <c r="J72" s="5">
        <v>163.80000000000001</v>
      </c>
      <c r="K72" s="5">
        <v>199.7</v>
      </c>
      <c r="L72" s="5">
        <v>169.8</v>
      </c>
      <c r="M72" s="5">
        <v>199.9</v>
      </c>
      <c r="N72" s="27">
        <f t="shared" si="10"/>
        <v>1637.6000000000001</v>
      </c>
      <c r="O72" s="15">
        <v>180.5</v>
      </c>
      <c r="P72" s="15">
        <v>178.7</v>
      </c>
      <c r="Q72" s="15">
        <v>162.9</v>
      </c>
      <c r="R72" s="15">
        <v>173.4</v>
      </c>
      <c r="S72" s="15">
        <v>170.4</v>
      </c>
      <c r="T72" s="15">
        <v>176.7</v>
      </c>
      <c r="V72" s="15">
        <v>2022</v>
      </c>
      <c r="W72" s="15" t="s">
        <v>43</v>
      </c>
      <c r="X72" s="15" t="str">
        <f t="shared" si="9"/>
        <v>October 2022</v>
      </c>
      <c r="Y72" s="9">
        <f t="shared" ref="Y72:Y79" si="11">($N72-$N71)/$N71</f>
        <v>7.9399273712071894E-3</v>
      </c>
      <c r="Z72" s="9">
        <f t="shared" ref="Z72:Z79" si="12">($O72-$O71)/$O71</f>
        <v>5.5710306406685237E-3</v>
      </c>
      <c r="AA72" s="9">
        <f t="shared" ref="AA72:AA79" si="13">($P72-$P71)/$P71</f>
        <v>5.0618672665915477E-3</v>
      </c>
      <c r="AB72" s="9">
        <f t="shared" ref="AB72:AB79" si="14">($Q72-$Q71)/$Q71</f>
        <v>3.6968576709796321E-3</v>
      </c>
      <c r="AC72" s="9">
        <f t="shared" ref="AC72:AC79" si="15">($R72-$R71)/$R71</f>
        <v>1.7331022530329948E-3</v>
      </c>
      <c r="AD72" s="9">
        <f t="shared" ref="AD72:AD79" si="16">($S72-$S71)/$S71</f>
        <v>5.30973451327437E-3</v>
      </c>
      <c r="AE72" s="9">
        <f t="shared" ref="AE72:AE79" si="17">($T72-$T71)/$T71</f>
        <v>7.9863091842554308E-3</v>
      </c>
    </row>
    <row r="73" spans="2:31" x14ac:dyDescent="0.35">
      <c r="B73" s="15" t="s">
        <v>34</v>
      </c>
      <c r="C73" s="15">
        <v>2022</v>
      </c>
      <c r="D73" s="15" t="s">
        <v>45</v>
      </c>
      <c r="E73" s="26">
        <v>167.4</v>
      </c>
      <c r="F73" s="15">
        <v>209.4</v>
      </c>
      <c r="G73" s="15">
        <v>181.4</v>
      </c>
      <c r="H73" s="5">
        <v>172.3</v>
      </c>
      <c r="I73" s="5">
        <v>188.9</v>
      </c>
      <c r="J73" s="5">
        <v>160.69999999999999</v>
      </c>
      <c r="K73" s="5">
        <v>183.1</v>
      </c>
      <c r="L73" s="5">
        <v>170.5</v>
      </c>
      <c r="M73" s="5">
        <v>202.8</v>
      </c>
      <c r="N73" s="27">
        <f t="shared" si="10"/>
        <v>1636.4999999999998</v>
      </c>
      <c r="O73" s="15">
        <v>181.3</v>
      </c>
      <c r="P73" s="15">
        <v>179.8</v>
      </c>
      <c r="Q73" s="15">
        <v>163</v>
      </c>
      <c r="R73" s="15">
        <v>173.7</v>
      </c>
      <c r="S73" s="15">
        <v>171.4</v>
      </c>
      <c r="T73" s="15">
        <v>176.5</v>
      </c>
      <c r="V73" s="15">
        <v>2022</v>
      </c>
      <c r="W73" s="15" t="s">
        <v>45</v>
      </c>
      <c r="X73" s="15" t="str">
        <f t="shared" si="9"/>
        <v>November 2022</v>
      </c>
      <c r="Y73" s="9">
        <f t="shared" si="11"/>
        <v>-6.7171470444575218E-4</v>
      </c>
      <c r="Z73" s="9">
        <f t="shared" si="12"/>
        <v>4.4321329639889825E-3</v>
      </c>
      <c r="AA73" s="9">
        <f t="shared" si="13"/>
        <v>6.1555679910465745E-3</v>
      </c>
      <c r="AB73" s="9">
        <f t="shared" si="14"/>
        <v>6.1387354205030267E-4</v>
      </c>
      <c r="AC73" s="9">
        <f t="shared" si="15"/>
        <v>1.7301038062282753E-3</v>
      </c>
      <c r="AD73" s="9">
        <f t="shared" si="16"/>
        <v>5.8685446009389668E-3</v>
      </c>
      <c r="AE73" s="9">
        <f t="shared" si="17"/>
        <v>-1.1318619128465684E-3</v>
      </c>
    </row>
    <row r="74" spans="2:31" x14ac:dyDescent="0.35">
      <c r="B74" s="15" t="s">
        <v>34</v>
      </c>
      <c r="C74" s="15">
        <v>2022</v>
      </c>
      <c r="D74" s="15" t="s">
        <v>46</v>
      </c>
      <c r="E74" s="26">
        <v>169.2</v>
      </c>
      <c r="F74" s="15">
        <v>209</v>
      </c>
      <c r="G74" s="15">
        <v>190.2</v>
      </c>
      <c r="H74" s="5">
        <v>173.6</v>
      </c>
      <c r="I74" s="5">
        <v>188.5</v>
      </c>
      <c r="J74" s="5">
        <v>158</v>
      </c>
      <c r="K74" s="5">
        <v>159.9</v>
      </c>
      <c r="L74" s="5">
        <v>170.8</v>
      </c>
      <c r="M74" s="5">
        <v>205.2</v>
      </c>
      <c r="N74" s="27">
        <f t="shared" si="10"/>
        <v>1624.4</v>
      </c>
      <c r="O74" s="15">
        <v>182</v>
      </c>
      <c r="P74" s="15">
        <v>181.1</v>
      </c>
      <c r="Q74" s="15">
        <v>163.4</v>
      </c>
      <c r="R74" s="15">
        <v>174.1</v>
      </c>
      <c r="S74" s="15">
        <v>172.1</v>
      </c>
      <c r="T74" s="15">
        <v>175.7</v>
      </c>
      <c r="V74" s="15">
        <v>2022</v>
      </c>
      <c r="W74" s="15" t="s">
        <v>46</v>
      </c>
      <c r="X74" s="15" t="str">
        <f t="shared" si="9"/>
        <v>December 2022</v>
      </c>
      <c r="Y74" s="9">
        <f t="shared" si="11"/>
        <v>-7.393828292086577E-3</v>
      </c>
      <c r="Z74" s="9">
        <f t="shared" si="12"/>
        <v>3.8610038610037982E-3</v>
      </c>
      <c r="AA74" s="9">
        <f t="shared" si="13"/>
        <v>7.2302558398219295E-3</v>
      </c>
      <c r="AB74" s="9">
        <f t="shared" si="14"/>
        <v>2.4539877300613845E-3</v>
      </c>
      <c r="AC74" s="9">
        <f t="shared" si="15"/>
        <v>2.3028209556707293E-3</v>
      </c>
      <c r="AD74" s="9">
        <f t="shared" si="16"/>
        <v>4.0840140023336562E-3</v>
      </c>
      <c r="AE74" s="9">
        <f t="shared" si="17"/>
        <v>-4.5325779036827843E-3</v>
      </c>
    </row>
    <row r="75" spans="2:31" x14ac:dyDescent="0.35">
      <c r="B75" s="15" t="s">
        <v>34</v>
      </c>
      <c r="C75" s="15">
        <v>2023</v>
      </c>
      <c r="D75" s="15" t="s">
        <v>31</v>
      </c>
      <c r="E75" s="26">
        <v>173.8</v>
      </c>
      <c r="F75" s="15">
        <v>210.7</v>
      </c>
      <c r="G75" s="15">
        <v>194.5</v>
      </c>
      <c r="H75" s="5">
        <v>174.6</v>
      </c>
      <c r="I75" s="5">
        <v>187.2</v>
      </c>
      <c r="J75" s="5">
        <v>158.30000000000001</v>
      </c>
      <c r="K75" s="5">
        <v>153.9</v>
      </c>
      <c r="L75" s="5">
        <v>170.9</v>
      </c>
      <c r="M75" s="5">
        <v>208.4</v>
      </c>
      <c r="N75" s="27">
        <f t="shared" si="10"/>
        <v>1632.3000000000002</v>
      </c>
      <c r="O75" s="15">
        <v>182</v>
      </c>
      <c r="P75" s="15">
        <v>182.3</v>
      </c>
      <c r="Q75" s="15">
        <v>163.6</v>
      </c>
      <c r="R75" s="15">
        <v>174.3</v>
      </c>
      <c r="S75" s="15">
        <v>172.9</v>
      </c>
      <c r="T75" s="15">
        <v>176.5</v>
      </c>
      <c r="V75" s="15">
        <v>2023</v>
      </c>
      <c r="W75" s="15" t="s">
        <v>31</v>
      </c>
      <c r="X75" s="15" t="str">
        <f t="shared" si="9"/>
        <v>January 2023</v>
      </c>
      <c r="Y75" s="9">
        <f t="shared" si="11"/>
        <v>4.8633341541492797E-3</v>
      </c>
      <c r="Z75" s="9">
        <f t="shared" si="12"/>
        <v>0</v>
      </c>
      <c r="AA75" s="9">
        <f t="shared" si="13"/>
        <v>6.6261733848703317E-3</v>
      </c>
      <c r="AB75" s="9">
        <f t="shared" si="14"/>
        <v>1.2239902080782657E-3</v>
      </c>
      <c r="AC75" s="9">
        <f t="shared" si="15"/>
        <v>1.1487650775417408E-3</v>
      </c>
      <c r="AD75" s="9">
        <f t="shared" si="16"/>
        <v>4.648460197559625E-3</v>
      </c>
      <c r="AE75" s="9">
        <f t="shared" si="17"/>
        <v>4.5532157085942599E-3</v>
      </c>
    </row>
    <row r="76" spans="2:31" x14ac:dyDescent="0.35">
      <c r="B76" s="15" t="s">
        <v>34</v>
      </c>
      <c r="C76" s="15">
        <v>2023</v>
      </c>
      <c r="D76" s="15" t="s">
        <v>35</v>
      </c>
      <c r="E76" s="26">
        <v>174.4</v>
      </c>
      <c r="F76" s="15">
        <v>207.7</v>
      </c>
      <c r="G76" s="15">
        <v>175.2</v>
      </c>
      <c r="H76" s="5">
        <v>177.3</v>
      </c>
      <c r="I76" s="5">
        <v>179.3</v>
      </c>
      <c r="J76" s="5">
        <v>169.5</v>
      </c>
      <c r="K76" s="5">
        <v>152.69999999999999</v>
      </c>
      <c r="L76" s="5">
        <v>171</v>
      </c>
      <c r="M76" s="5">
        <v>209.7</v>
      </c>
      <c r="N76" s="27">
        <f t="shared" si="10"/>
        <v>1616.8</v>
      </c>
      <c r="O76" s="15">
        <v>182.1</v>
      </c>
      <c r="P76" s="15">
        <v>184.4</v>
      </c>
      <c r="Q76" s="15">
        <v>164.2</v>
      </c>
      <c r="R76" s="15">
        <v>175</v>
      </c>
      <c r="S76" s="15">
        <v>174.2</v>
      </c>
      <c r="T76" s="15">
        <v>177.2</v>
      </c>
      <c r="V76" s="15">
        <v>2023</v>
      </c>
      <c r="W76" s="15" t="s">
        <v>35</v>
      </c>
      <c r="X76" s="15" t="str">
        <f t="shared" si="9"/>
        <v>February 2023</v>
      </c>
      <c r="Y76" s="9">
        <f t="shared" si="11"/>
        <v>-9.4958034674999855E-3</v>
      </c>
      <c r="Z76" s="9">
        <f t="shared" si="12"/>
        <v>5.4945054945051823E-4</v>
      </c>
      <c r="AA76" s="9">
        <f t="shared" si="13"/>
        <v>1.1519473395501889E-2</v>
      </c>
      <c r="AB76" s="9">
        <f t="shared" si="14"/>
        <v>3.6674816625916523E-3</v>
      </c>
      <c r="AC76" s="9">
        <f t="shared" si="15"/>
        <v>4.016064257028047E-3</v>
      </c>
      <c r="AD76" s="9">
        <f t="shared" si="16"/>
        <v>7.5187969924811037E-3</v>
      </c>
      <c r="AE76" s="9">
        <f t="shared" si="17"/>
        <v>3.9660056657223148E-3</v>
      </c>
    </row>
    <row r="77" spans="2:31" x14ac:dyDescent="0.35">
      <c r="B77" s="15" t="s">
        <v>34</v>
      </c>
      <c r="C77" s="15">
        <v>2023</v>
      </c>
      <c r="D77" s="15" t="s">
        <v>36</v>
      </c>
      <c r="E77" s="26">
        <v>174.4</v>
      </c>
      <c r="F77" s="15">
        <v>207.7</v>
      </c>
      <c r="G77" s="15">
        <v>175.2</v>
      </c>
      <c r="H77" s="5">
        <v>177.3</v>
      </c>
      <c r="I77" s="5">
        <v>179.2</v>
      </c>
      <c r="J77" s="5">
        <v>169.5</v>
      </c>
      <c r="K77" s="5">
        <v>152.80000000000001</v>
      </c>
      <c r="L77" s="5">
        <v>171.1</v>
      </c>
      <c r="M77" s="5">
        <v>209.7</v>
      </c>
      <c r="N77" s="27">
        <f t="shared" si="10"/>
        <v>1616.8999999999999</v>
      </c>
      <c r="O77" s="15">
        <v>181.9</v>
      </c>
      <c r="P77" s="15">
        <v>184.4</v>
      </c>
      <c r="Q77" s="15">
        <v>164.2</v>
      </c>
      <c r="R77" s="15">
        <v>175</v>
      </c>
      <c r="S77" s="15">
        <v>174.2</v>
      </c>
      <c r="T77" s="15">
        <v>177.2</v>
      </c>
      <c r="V77" s="15">
        <v>2023</v>
      </c>
      <c r="W77" s="15" t="s">
        <v>36</v>
      </c>
      <c r="X77" s="15" t="str">
        <f t="shared" si="9"/>
        <v>March 2023</v>
      </c>
      <c r="Y77" s="9">
        <f t="shared" si="11"/>
        <v>6.1850569025178782E-5</v>
      </c>
      <c r="Z77" s="9">
        <f t="shared" si="12"/>
        <v>-1.0982976386600144E-3</v>
      </c>
      <c r="AA77" s="9">
        <f t="shared" si="13"/>
        <v>0</v>
      </c>
      <c r="AB77" s="9">
        <f t="shared" si="14"/>
        <v>0</v>
      </c>
      <c r="AC77" s="9">
        <f t="shared" si="15"/>
        <v>0</v>
      </c>
      <c r="AD77" s="9">
        <f t="shared" si="16"/>
        <v>0</v>
      </c>
      <c r="AE77" s="9">
        <f t="shared" si="17"/>
        <v>0</v>
      </c>
    </row>
    <row r="78" spans="2:31" x14ac:dyDescent="0.35">
      <c r="B78" s="15" t="s">
        <v>34</v>
      </c>
      <c r="C78" s="15">
        <v>2023</v>
      </c>
      <c r="D78" s="15" t="s">
        <v>37</v>
      </c>
      <c r="E78" s="26">
        <v>173.8</v>
      </c>
      <c r="F78" s="15">
        <v>209.3</v>
      </c>
      <c r="G78" s="15">
        <v>169.6</v>
      </c>
      <c r="H78" s="5">
        <v>178.4</v>
      </c>
      <c r="I78" s="5">
        <v>174.9</v>
      </c>
      <c r="J78" s="5">
        <v>176.3</v>
      </c>
      <c r="K78" s="5">
        <v>155.4</v>
      </c>
      <c r="L78" s="5">
        <v>173.4</v>
      </c>
      <c r="M78" s="5">
        <v>212.9</v>
      </c>
      <c r="N78" s="27">
        <f t="shared" si="10"/>
        <v>1624.0000000000002</v>
      </c>
      <c r="O78" s="15">
        <v>181.7</v>
      </c>
      <c r="P78" s="15">
        <v>185</v>
      </c>
      <c r="Q78" s="15">
        <v>164.5</v>
      </c>
      <c r="R78" s="15">
        <v>176.4</v>
      </c>
      <c r="S78" s="15">
        <v>174.6</v>
      </c>
      <c r="T78" s="15">
        <v>178.1</v>
      </c>
      <c r="V78" s="15">
        <v>2023</v>
      </c>
      <c r="W78" s="15" t="s">
        <v>37</v>
      </c>
      <c r="X78" s="15" t="str">
        <f t="shared" si="9"/>
        <v>April 2023</v>
      </c>
      <c r="Y78" s="9">
        <f t="shared" si="11"/>
        <v>4.3911188075950059E-3</v>
      </c>
      <c r="Z78" s="9">
        <f t="shared" si="12"/>
        <v>-1.0995052226499013E-3</v>
      </c>
      <c r="AA78" s="9">
        <f t="shared" si="13"/>
        <v>3.2537960954446546E-3</v>
      </c>
      <c r="AB78" s="9">
        <f t="shared" si="14"/>
        <v>1.8270401948843567E-3</v>
      </c>
      <c r="AC78" s="9">
        <f t="shared" si="15"/>
        <v>8.0000000000000331E-3</v>
      </c>
      <c r="AD78" s="9">
        <f t="shared" si="16"/>
        <v>2.2962112514351646E-3</v>
      </c>
      <c r="AE78" s="9">
        <f t="shared" si="17"/>
        <v>5.0790067720090613E-3</v>
      </c>
    </row>
    <row r="79" spans="2:31" x14ac:dyDescent="0.35">
      <c r="B79" s="15" t="s">
        <v>34</v>
      </c>
      <c r="C79" s="15">
        <v>2023</v>
      </c>
      <c r="D79" s="15" t="s">
        <v>38</v>
      </c>
      <c r="E79" s="26">
        <v>173.7</v>
      </c>
      <c r="F79" s="15">
        <v>214.3</v>
      </c>
      <c r="G79" s="15">
        <v>173.2</v>
      </c>
      <c r="H79" s="5">
        <v>179.5</v>
      </c>
      <c r="I79" s="5">
        <v>170</v>
      </c>
      <c r="J79" s="5">
        <v>172.2</v>
      </c>
      <c r="K79" s="5">
        <v>161</v>
      </c>
      <c r="L79" s="5">
        <v>175.6</v>
      </c>
      <c r="M79" s="5">
        <v>218</v>
      </c>
      <c r="N79" s="27">
        <f t="shared" si="10"/>
        <v>1637.5</v>
      </c>
      <c r="O79" s="15">
        <v>182.8</v>
      </c>
      <c r="P79" s="15">
        <v>185.7</v>
      </c>
      <c r="Q79" s="15">
        <v>164.8</v>
      </c>
      <c r="R79" s="15">
        <v>177.1</v>
      </c>
      <c r="S79" s="15">
        <v>175.2</v>
      </c>
      <c r="T79" s="15">
        <v>179.1</v>
      </c>
      <c r="V79" s="15">
        <v>2023</v>
      </c>
      <c r="W79" s="15" t="s">
        <v>38</v>
      </c>
      <c r="X79" s="15" t="str">
        <f t="shared" si="9"/>
        <v>May 2023</v>
      </c>
      <c r="Y79" s="9">
        <f t="shared" si="11"/>
        <v>8.312807881773257E-3</v>
      </c>
      <c r="Z79" s="9">
        <f t="shared" si="12"/>
        <v>6.0539350577876877E-3</v>
      </c>
      <c r="AA79" s="9">
        <f t="shared" si="13"/>
        <v>3.7837837837837222E-3</v>
      </c>
      <c r="AB79" s="9">
        <f t="shared" si="14"/>
        <v>1.8237082066869992E-3</v>
      </c>
      <c r="AC79" s="9">
        <f t="shared" si="15"/>
        <v>3.9682539682539038E-3</v>
      </c>
      <c r="AD79" s="9">
        <f t="shared" si="16"/>
        <v>3.4364261168384554E-3</v>
      </c>
      <c r="AE79" s="9">
        <f t="shared" si="17"/>
        <v>5.614823133071308E-3</v>
      </c>
    </row>
  </sheetData>
  <autoFilter ref="B5:T79" xr:uid="{16EE9D65-729D-4A18-B12D-B2A0CFAD8348}"/>
  <mergeCells count="3">
    <mergeCell ref="B3:T4"/>
    <mergeCell ref="V3:AE4"/>
    <mergeCell ref="AG3:A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0900-46C3-46D9-B4BA-8FE630C04E30}">
  <dimension ref="B4:AE37"/>
  <sheetViews>
    <sheetView topLeftCell="O1" workbookViewId="0">
      <selection activeCell="S8" sqref="S8:AD8"/>
    </sheetView>
  </sheetViews>
  <sheetFormatPr defaultRowHeight="14.5" x14ac:dyDescent="0.35"/>
  <cols>
    <col min="2" max="2" width="29.90625" bestFit="1" customWidth="1"/>
    <col min="3" max="3" width="8.90625" bestFit="1" customWidth="1"/>
    <col min="4" max="4" width="7.08984375" bestFit="1" customWidth="1"/>
    <col min="5" max="5" width="7.6328125" bestFit="1" customWidth="1"/>
    <col min="6" max="6" width="7.7265625" bestFit="1" customWidth="1"/>
    <col min="7" max="7" width="11.54296875" bestFit="1" customWidth="1"/>
    <col min="8" max="8" width="17" bestFit="1" customWidth="1"/>
    <col min="9" max="9" width="13.90625" bestFit="1" customWidth="1"/>
    <col min="10" max="10" width="16.1796875" bestFit="1" customWidth="1"/>
    <col min="11" max="11" width="15.90625" bestFit="1" customWidth="1"/>
    <col min="12" max="12" width="13.36328125" bestFit="1" customWidth="1"/>
    <col min="13" max="13" width="15.453125" bestFit="1" customWidth="1"/>
    <col min="14" max="14" width="10.81640625" bestFit="1" customWidth="1"/>
    <col min="15" max="15" width="9.81640625" bestFit="1" customWidth="1"/>
    <col min="18" max="18" width="29.90625" bestFit="1" customWidth="1"/>
    <col min="19" max="19" width="8.90625" bestFit="1" customWidth="1"/>
    <col min="20" max="20" width="7.08984375" bestFit="1" customWidth="1"/>
    <col min="21" max="21" width="7.6328125" bestFit="1" customWidth="1"/>
    <col min="22" max="22" width="7.7265625" bestFit="1" customWidth="1"/>
    <col min="23" max="23" width="11.54296875" bestFit="1" customWidth="1"/>
    <col min="24" max="24" width="17" bestFit="1" customWidth="1"/>
    <col min="25" max="25" width="13.90625" bestFit="1" customWidth="1"/>
    <col min="26" max="26" width="16.1796875" bestFit="1" customWidth="1"/>
    <col min="27" max="27" width="15.90625" bestFit="1" customWidth="1"/>
    <col min="28" max="28" width="13.36328125" bestFit="1" customWidth="1"/>
    <col min="29" max="29" width="15.453125" bestFit="1" customWidth="1"/>
    <col min="30" max="30" width="10.81640625" bestFit="1" customWidth="1"/>
    <col min="31" max="31" width="9.81640625" bestFit="1" customWidth="1"/>
  </cols>
  <sheetData>
    <row r="4" spans="2:31" x14ac:dyDescent="0.35">
      <c r="B4" s="71" t="s">
        <v>141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R4" s="72" t="s">
        <v>142</v>
      </c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</row>
    <row r="5" spans="2:31" ht="17.5" x14ac:dyDescent="0.35">
      <c r="B5" s="70" t="s">
        <v>100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R5" s="69" t="s">
        <v>100</v>
      </c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</row>
    <row r="6" spans="2:31" ht="18" customHeight="1" x14ac:dyDescent="0.35">
      <c r="B6" s="43" t="s">
        <v>101</v>
      </c>
      <c r="C6" s="44" t="s">
        <v>102</v>
      </c>
      <c r="D6" s="44" t="s">
        <v>103</v>
      </c>
      <c r="E6" s="44" t="s">
        <v>104</v>
      </c>
      <c r="F6" s="44" t="s">
        <v>105</v>
      </c>
      <c r="G6" s="44" t="s">
        <v>106</v>
      </c>
      <c r="H6" s="44" t="s">
        <v>107</v>
      </c>
      <c r="I6" s="44" t="s">
        <v>108</v>
      </c>
      <c r="J6" s="44" t="s">
        <v>109</v>
      </c>
      <c r="K6" s="44" t="s">
        <v>110</v>
      </c>
      <c r="L6" s="44" t="s">
        <v>111</v>
      </c>
      <c r="M6" s="44" t="s">
        <v>112</v>
      </c>
      <c r="N6" s="44" t="s">
        <v>113</v>
      </c>
      <c r="O6" s="44" t="s">
        <v>114</v>
      </c>
      <c r="R6" s="28" t="s">
        <v>101</v>
      </c>
      <c r="S6" s="29" t="s">
        <v>102</v>
      </c>
      <c r="T6" s="29" t="s">
        <v>103</v>
      </c>
      <c r="U6" s="29" t="s">
        <v>104</v>
      </c>
      <c r="V6" s="29" t="s">
        <v>105</v>
      </c>
      <c r="W6" s="29" t="s">
        <v>106</v>
      </c>
      <c r="X6" s="29" t="s">
        <v>107</v>
      </c>
      <c r="Y6" s="29" t="s">
        <v>108</v>
      </c>
      <c r="Z6" s="29" t="s">
        <v>109</v>
      </c>
      <c r="AA6" s="29" t="s">
        <v>110</v>
      </c>
      <c r="AB6" s="29" t="s">
        <v>111</v>
      </c>
      <c r="AC6" s="29" t="s">
        <v>112</v>
      </c>
      <c r="AD6" s="29" t="s">
        <v>113</v>
      </c>
      <c r="AE6" s="29" t="s">
        <v>114</v>
      </c>
    </row>
    <row r="7" spans="2:31" ht="14.5" customHeight="1" x14ac:dyDescent="0.35">
      <c r="B7" s="30" t="s">
        <v>134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R7" s="30" t="s">
        <v>134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spans="2:31" ht="15.5" x14ac:dyDescent="0.35">
      <c r="B8" s="32" t="s">
        <v>115</v>
      </c>
      <c r="C8" s="46">
        <v>8555.124305166928</v>
      </c>
      <c r="D8" s="46">
        <v>8262.4591334358447</v>
      </c>
      <c r="E8" s="46">
        <v>8288.6639043868272</v>
      </c>
      <c r="F8" s="46">
        <v>7975.557676093822</v>
      </c>
      <c r="G8" s="46">
        <v>9075.0363125651802</v>
      </c>
      <c r="H8" s="46">
        <v>9340.0907281339605</v>
      </c>
      <c r="I8" s="46">
        <v>9636.9097891856873</v>
      </c>
      <c r="J8" s="46">
        <v>10588.500877415287</v>
      </c>
      <c r="K8" s="46">
        <v>10887.089291441698</v>
      </c>
      <c r="L8" s="46">
        <v>11573.41351840969</v>
      </c>
      <c r="M8" s="46">
        <v>11618.667114456433</v>
      </c>
      <c r="N8" s="46">
        <v>14873.640267261206</v>
      </c>
      <c r="O8" s="47">
        <f>SUM(C8:N8)</f>
        <v>120675.15291795255</v>
      </c>
      <c r="R8" s="32" t="s">
        <v>115</v>
      </c>
      <c r="S8" s="33">
        <v>18256.492266788002</v>
      </c>
      <c r="T8" s="33">
        <v>17259.238289191999</v>
      </c>
      <c r="U8" s="33">
        <v>15904.74071692</v>
      </c>
      <c r="V8" s="33">
        <v>15021.215412387</v>
      </c>
      <c r="W8" s="33">
        <v>17386.686679644998</v>
      </c>
      <c r="X8" s="33">
        <v>17607.534813625</v>
      </c>
      <c r="Y8" s="33">
        <v>17084.174631723999</v>
      </c>
      <c r="Z8" s="33">
        <v>18340.381595481929</v>
      </c>
      <c r="AA8" s="33">
        <v>19648.115803371995</v>
      </c>
      <c r="AB8" s="33">
        <v>19253.803364503616</v>
      </c>
      <c r="AC8" s="33">
        <v>17588.537024211</v>
      </c>
      <c r="AD8" s="33">
        <v>19030.701838389999</v>
      </c>
      <c r="AE8" s="34">
        <f>SUM(S8:AD8)</f>
        <v>212381.6224362395</v>
      </c>
    </row>
    <row r="9" spans="2:31" ht="15.5" x14ac:dyDescent="0.35">
      <c r="B9" s="32" t="s">
        <v>135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7"/>
      <c r="R9" s="32" t="s">
        <v>135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4"/>
    </row>
    <row r="10" spans="2:31" x14ac:dyDescent="0.35">
      <c r="B10" s="33" t="s">
        <v>116</v>
      </c>
      <c r="C10" s="46">
        <v>585.46284790562993</v>
      </c>
      <c r="D10" s="46">
        <v>534.42041881144996</v>
      </c>
      <c r="E10" s="46">
        <v>752.20361302721017</v>
      </c>
      <c r="F10" s="46">
        <v>870.17250029601996</v>
      </c>
      <c r="G10" s="46">
        <v>1119.0659963407561</v>
      </c>
      <c r="H10" s="46">
        <v>1042.47585668648</v>
      </c>
      <c r="I10" s="46">
        <v>1301.8809358859498</v>
      </c>
      <c r="J10" s="46">
        <v>1366.97254160022</v>
      </c>
      <c r="K10" s="46">
        <v>1313.937320660712</v>
      </c>
      <c r="L10" s="46">
        <v>1036.3753581899</v>
      </c>
      <c r="M10" s="46">
        <v>986.57638667555011</v>
      </c>
      <c r="N10" s="46">
        <v>1325.66471873142</v>
      </c>
      <c r="O10" s="47">
        <f t="shared" ref="O10:O20" si="0">SUM(C10:N10)</f>
        <v>12235.208494811297</v>
      </c>
      <c r="R10" s="33" t="s">
        <v>116</v>
      </c>
      <c r="S10" s="33">
        <v>1043.1981700000001</v>
      </c>
      <c r="T10" s="33">
        <v>1045.5622309999999</v>
      </c>
      <c r="U10" s="33">
        <v>1389.0896180000002</v>
      </c>
      <c r="V10" s="33">
        <v>1402.6431790000001</v>
      </c>
      <c r="W10" s="33">
        <v>1695.16956</v>
      </c>
      <c r="X10" s="33">
        <v>1562.9889140000002</v>
      </c>
      <c r="Y10" s="33">
        <v>1599.1625140000001</v>
      </c>
      <c r="Z10" s="33">
        <v>1581.0865789999998</v>
      </c>
      <c r="AA10" s="33">
        <v>1650.1093820000001</v>
      </c>
      <c r="AB10" s="33">
        <v>1387.688418</v>
      </c>
      <c r="AC10" s="33">
        <v>1248.925475</v>
      </c>
      <c r="AD10" s="33">
        <v>1437.7294790000001</v>
      </c>
      <c r="AE10" s="34">
        <f t="shared" ref="AE10:AE20" si="1">SUM(S10:AD10)</f>
        <v>17043.353519000004</v>
      </c>
    </row>
    <row r="11" spans="2:31" x14ac:dyDescent="0.35">
      <c r="B11" s="35" t="s">
        <v>117</v>
      </c>
      <c r="C11" s="46">
        <v>47.231402943999996</v>
      </c>
      <c r="D11" s="46">
        <v>0</v>
      </c>
      <c r="E11" s="46">
        <v>0</v>
      </c>
      <c r="F11" s="46">
        <v>1.9800000000000002E-2</v>
      </c>
      <c r="G11" s="46">
        <v>0</v>
      </c>
      <c r="H11" s="46">
        <v>79.510087277800011</v>
      </c>
      <c r="I11" s="46">
        <v>366.14170345452703</v>
      </c>
      <c r="J11" s="46">
        <v>26.440021234</v>
      </c>
      <c r="K11" s="46">
        <v>1.8200000000000001E-2</v>
      </c>
      <c r="L11" s="46">
        <v>0</v>
      </c>
      <c r="M11" s="46">
        <v>0.01</v>
      </c>
      <c r="N11" s="46">
        <v>0</v>
      </c>
      <c r="O11" s="47">
        <f t="shared" si="0"/>
        <v>519.37121491032701</v>
      </c>
      <c r="R11" s="35" t="s">
        <v>117</v>
      </c>
      <c r="S11" s="33">
        <v>73.895883000000012</v>
      </c>
      <c r="T11" s="33">
        <v>0</v>
      </c>
      <c r="U11" s="33">
        <v>0</v>
      </c>
      <c r="V11" s="33">
        <v>3.82E-3</v>
      </c>
      <c r="W11" s="33">
        <v>0</v>
      </c>
      <c r="X11" s="33">
        <v>153.30026900000001</v>
      </c>
      <c r="Y11" s="33">
        <v>412.17921399999994</v>
      </c>
      <c r="Z11" s="33">
        <v>31.499068000000001</v>
      </c>
      <c r="AA11" s="33">
        <v>3.3639999999999998E-3</v>
      </c>
      <c r="AB11" s="33">
        <v>0</v>
      </c>
      <c r="AC11" s="33">
        <v>9.5100000000000002E-4</v>
      </c>
      <c r="AD11" s="33">
        <v>0</v>
      </c>
      <c r="AE11" s="34">
        <f t="shared" si="1"/>
        <v>670.88256899999999</v>
      </c>
    </row>
    <row r="12" spans="2:31" x14ac:dyDescent="0.35">
      <c r="B12" s="33" t="s">
        <v>118</v>
      </c>
      <c r="C12" s="46">
        <v>22.749425388205701</v>
      </c>
      <c r="D12" s="46">
        <v>24.549800000000001</v>
      </c>
      <c r="E12" s="46">
        <v>25.11057533</v>
      </c>
      <c r="F12" s="46">
        <v>0</v>
      </c>
      <c r="G12" s="46">
        <v>0</v>
      </c>
      <c r="H12" s="46">
        <v>0</v>
      </c>
      <c r="I12" s="46">
        <v>0</v>
      </c>
      <c r="J12" s="46">
        <v>16.295000000000002</v>
      </c>
      <c r="K12" s="46">
        <v>0</v>
      </c>
      <c r="L12" s="46">
        <v>0</v>
      </c>
      <c r="M12" s="46">
        <v>0</v>
      </c>
      <c r="N12" s="46">
        <v>110.68559999999999</v>
      </c>
      <c r="O12" s="47">
        <f t="shared" si="0"/>
        <v>199.39040071820568</v>
      </c>
      <c r="R12" s="33" t="s">
        <v>118</v>
      </c>
      <c r="S12" s="33">
        <v>39.125270999999998</v>
      </c>
      <c r="T12" s="33">
        <v>34.568548</v>
      </c>
      <c r="U12" s="33">
        <v>37.095032000000003</v>
      </c>
      <c r="V12" s="33">
        <v>0</v>
      </c>
      <c r="W12" s="33">
        <v>0</v>
      </c>
      <c r="X12" s="33">
        <v>0</v>
      </c>
      <c r="Y12" s="33">
        <v>0</v>
      </c>
      <c r="Z12" s="33">
        <v>16.522962</v>
      </c>
      <c r="AA12" s="33">
        <v>0</v>
      </c>
      <c r="AB12" s="33">
        <v>0</v>
      </c>
      <c r="AC12" s="33">
        <v>0</v>
      </c>
      <c r="AD12" s="33">
        <v>109.625373</v>
      </c>
      <c r="AE12" s="34">
        <f t="shared" si="1"/>
        <v>236.937186</v>
      </c>
    </row>
    <row r="13" spans="2:31" x14ac:dyDescent="0.35">
      <c r="B13" s="33" t="s">
        <v>119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7">
        <f t="shared" si="0"/>
        <v>0</v>
      </c>
      <c r="R13" s="33" t="s">
        <v>119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4">
        <f t="shared" si="1"/>
        <v>0</v>
      </c>
    </row>
    <row r="14" spans="2:31" x14ac:dyDescent="0.35">
      <c r="B14" s="35" t="s">
        <v>120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7">
        <f t="shared" si="0"/>
        <v>0</v>
      </c>
      <c r="R14" s="35" t="s">
        <v>120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4">
        <f t="shared" si="1"/>
        <v>0</v>
      </c>
    </row>
    <row r="15" spans="2:31" x14ac:dyDescent="0.35">
      <c r="B15" s="33" t="s">
        <v>121</v>
      </c>
      <c r="C15" s="46">
        <v>1.4578000000000002</v>
      </c>
      <c r="D15" s="46">
        <v>2.6671999999999998</v>
      </c>
      <c r="E15" s="46">
        <v>0.89670000000000005</v>
      </c>
      <c r="F15" s="46">
        <v>0.65250000000000008</v>
      </c>
      <c r="G15" s="46">
        <v>2.7972999999999999</v>
      </c>
      <c r="H15" s="46">
        <v>2.9341000000000004</v>
      </c>
      <c r="I15" s="46">
        <v>1.4578000000000002</v>
      </c>
      <c r="J15" s="46">
        <v>4.8047000000000004</v>
      </c>
      <c r="K15" s="46">
        <v>4.0992999999999995</v>
      </c>
      <c r="L15" s="46">
        <v>2.3470999999999997</v>
      </c>
      <c r="M15" s="46">
        <v>4.7428999999999988</v>
      </c>
      <c r="N15" s="46">
        <v>5.0015999999999998</v>
      </c>
      <c r="O15" s="47">
        <f t="shared" si="0"/>
        <v>33.859000000000002</v>
      </c>
      <c r="R15" s="33" t="s">
        <v>121</v>
      </c>
      <c r="S15" s="33">
        <v>2.6987319999999997</v>
      </c>
      <c r="T15" s="33">
        <v>3.6624269999999997</v>
      </c>
      <c r="U15" s="33">
        <v>1.302298</v>
      </c>
      <c r="V15" s="33">
        <v>0.969495</v>
      </c>
      <c r="W15" s="33">
        <v>4.1035330000000005</v>
      </c>
      <c r="X15" s="33">
        <v>5.6611829999999994</v>
      </c>
      <c r="Y15" s="33">
        <v>2.237447</v>
      </c>
      <c r="Z15" s="33">
        <v>5.7908399999999993</v>
      </c>
      <c r="AA15" s="33">
        <v>3.7669569999999997</v>
      </c>
      <c r="AB15" s="33">
        <v>2.8835540000000002</v>
      </c>
      <c r="AC15" s="33">
        <v>5.2925089999999999</v>
      </c>
      <c r="AD15" s="33">
        <v>5.0643850000000006</v>
      </c>
      <c r="AE15" s="34">
        <f t="shared" si="1"/>
        <v>43.43336</v>
      </c>
    </row>
    <row r="16" spans="2:31" x14ac:dyDescent="0.35">
      <c r="B16" s="33" t="s">
        <v>122</v>
      </c>
      <c r="C16" s="46">
        <v>250.628523855</v>
      </c>
      <c r="D16" s="46">
        <v>227.27697354500003</v>
      </c>
      <c r="E16" s="46">
        <v>181.1627</v>
      </c>
      <c r="F16" s="46">
        <v>183.63098363000003</v>
      </c>
      <c r="G16" s="46">
        <v>213.63388144465</v>
      </c>
      <c r="H16" s="46">
        <v>211.96296820402995</v>
      </c>
      <c r="I16" s="46">
        <v>291.10338645173999</v>
      </c>
      <c r="J16" s="46">
        <v>193.51003686000001</v>
      </c>
      <c r="K16" s="46">
        <v>282.64551576899999</v>
      </c>
      <c r="L16" s="46">
        <v>141.57050000000004</v>
      </c>
      <c r="M16" s="46">
        <v>194.5264</v>
      </c>
      <c r="N16" s="46">
        <v>270.33099999999985</v>
      </c>
      <c r="O16" s="47">
        <f t="shared" si="0"/>
        <v>2641.9828697594198</v>
      </c>
      <c r="R16" s="33" t="s">
        <v>122</v>
      </c>
      <c r="S16" s="33">
        <v>289.03063400000002</v>
      </c>
      <c r="T16" s="33">
        <v>252.17208099999993</v>
      </c>
      <c r="U16" s="33">
        <v>208.31148500000003</v>
      </c>
      <c r="V16" s="33">
        <v>208.182154</v>
      </c>
      <c r="W16" s="33">
        <v>247.20005700000004</v>
      </c>
      <c r="X16" s="33">
        <v>246.88914899999997</v>
      </c>
      <c r="Y16" s="33">
        <v>329.53018300000002</v>
      </c>
      <c r="Z16" s="33">
        <v>231.910021</v>
      </c>
      <c r="AA16" s="33">
        <v>333.91216600000001</v>
      </c>
      <c r="AB16" s="33">
        <v>164.15455799999998</v>
      </c>
      <c r="AC16" s="33">
        <v>230.53268</v>
      </c>
      <c r="AD16" s="33">
        <v>316.51671599999997</v>
      </c>
      <c r="AE16" s="34">
        <f t="shared" si="1"/>
        <v>3058.3418839999999</v>
      </c>
    </row>
    <row r="17" spans="2:31" x14ac:dyDescent="0.35">
      <c r="B17" s="33" t="s">
        <v>123</v>
      </c>
      <c r="C17" s="46">
        <v>308.45352584787724</v>
      </c>
      <c r="D17" s="46">
        <v>238.21460666249999</v>
      </c>
      <c r="E17" s="46">
        <v>241.04344359218797</v>
      </c>
      <c r="F17" s="46">
        <v>422.70234745276503</v>
      </c>
      <c r="G17" s="46">
        <v>304.92125379432076</v>
      </c>
      <c r="H17" s="46">
        <v>188.85616976000003</v>
      </c>
      <c r="I17" s="46">
        <v>372.064452821766</v>
      </c>
      <c r="J17" s="46">
        <v>278.293797907721</v>
      </c>
      <c r="K17" s="46">
        <v>404.62278309084081</v>
      </c>
      <c r="L17" s="46">
        <v>395.21262591844425</v>
      </c>
      <c r="M17" s="46">
        <v>504.83354340416605</v>
      </c>
      <c r="N17" s="46">
        <v>719.86604921310391</v>
      </c>
      <c r="O17" s="47">
        <f t="shared" si="0"/>
        <v>4379.0845994656938</v>
      </c>
      <c r="R17" s="33" t="s">
        <v>123</v>
      </c>
      <c r="S17" s="33">
        <v>774.47343100000001</v>
      </c>
      <c r="T17" s="33">
        <v>584.75109699999996</v>
      </c>
      <c r="U17" s="33">
        <v>554.44054399999993</v>
      </c>
      <c r="V17" s="33">
        <v>944.70112900000004</v>
      </c>
      <c r="W17" s="33">
        <v>697.35920699999997</v>
      </c>
      <c r="X17" s="33">
        <v>424.71402799999993</v>
      </c>
      <c r="Y17" s="33">
        <v>731.10645499999998</v>
      </c>
      <c r="Z17" s="33">
        <v>564.26350500000001</v>
      </c>
      <c r="AA17" s="33">
        <v>882.98170099999993</v>
      </c>
      <c r="AB17" s="33">
        <v>817.63115499999992</v>
      </c>
      <c r="AC17" s="33">
        <v>947.80375199999992</v>
      </c>
      <c r="AD17" s="33">
        <v>1056.2381800000001</v>
      </c>
      <c r="AE17" s="34">
        <f t="shared" si="1"/>
        <v>8980.4641839999986</v>
      </c>
    </row>
    <row r="18" spans="2:31" x14ac:dyDescent="0.35">
      <c r="B18" s="33" t="s">
        <v>124</v>
      </c>
      <c r="C18" s="46">
        <v>113.42622700999999</v>
      </c>
      <c r="D18" s="46">
        <v>92.8553</v>
      </c>
      <c r="E18" s="46">
        <v>73.087900000000005</v>
      </c>
      <c r="F18" s="46">
        <v>54.603099999999998</v>
      </c>
      <c r="G18" s="46">
        <v>40.951400000000007</v>
      </c>
      <c r="H18" s="46">
        <v>55.112400000000001</v>
      </c>
      <c r="I18" s="46">
        <v>70.02239999999999</v>
      </c>
      <c r="J18" s="46">
        <v>85.317999999999998</v>
      </c>
      <c r="K18" s="46">
        <v>111.2698</v>
      </c>
      <c r="L18" s="46">
        <v>99.260900000000007</v>
      </c>
      <c r="M18" s="46">
        <v>99.199299999999994</v>
      </c>
      <c r="N18" s="46">
        <v>133.45599999999999</v>
      </c>
      <c r="O18" s="47">
        <f t="shared" si="0"/>
        <v>1028.5627270099999</v>
      </c>
      <c r="R18" s="33" t="s">
        <v>124</v>
      </c>
      <c r="S18" s="33">
        <v>301.67703200000005</v>
      </c>
      <c r="T18" s="33">
        <v>258.42517199999998</v>
      </c>
      <c r="U18" s="33">
        <v>197.71462600000001</v>
      </c>
      <c r="V18" s="33">
        <v>155.43947</v>
      </c>
      <c r="W18" s="33">
        <v>111.52384499999999</v>
      </c>
      <c r="X18" s="33">
        <v>153.122544</v>
      </c>
      <c r="Y18" s="33">
        <v>196.17059999999998</v>
      </c>
      <c r="Z18" s="33">
        <v>191.19645700000001</v>
      </c>
      <c r="AA18" s="33">
        <v>291.14119399999998</v>
      </c>
      <c r="AB18" s="33">
        <v>238.47262900000001</v>
      </c>
      <c r="AC18" s="33">
        <v>219.43149100000002</v>
      </c>
      <c r="AD18" s="33">
        <v>266.21151400000002</v>
      </c>
      <c r="AE18" s="34">
        <f t="shared" si="1"/>
        <v>2580.526574</v>
      </c>
    </row>
    <row r="19" spans="2:31" x14ac:dyDescent="0.35">
      <c r="B19" s="33" t="s">
        <v>125</v>
      </c>
      <c r="C19" s="46">
        <v>8.3743999999999996</v>
      </c>
      <c r="D19" s="46">
        <v>47.425000000000004</v>
      </c>
      <c r="E19" s="46">
        <v>47.879300000000001</v>
      </c>
      <c r="F19" s="46">
        <v>83.002400000000009</v>
      </c>
      <c r="G19" s="46">
        <v>40.435900000000004</v>
      </c>
      <c r="H19" s="46">
        <v>49.0289</v>
      </c>
      <c r="I19" s="46">
        <v>79.538999999999987</v>
      </c>
      <c r="J19" s="46">
        <v>96.298299999999998</v>
      </c>
      <c r="K19" s="46">
        <v>235.62130000000002</v>
      </c>
      <c r="L19" s="46">
        <v>198.65870000000001</v>
      </c>
      <c r="M19" s="46">
        <v>115.4639</v>
      </c>
      <c r="N19" s="46">
        <v>95.473799999999997</v>
      </c>
      <c r="O19" s="47">
        <f t="shared" si="0"/>
        <v>1097.2009</v>
      </c>
      <c r="R19" s="33" t="s">
        <v>125</v>
      </c>
      <c r="S19" s="33">
        <v>27.76</v>
      </c>
      <c r="T19" s="33">
        <v>283.35595499999999</v>
      </c>
      <c r="U19" s="33">
        <v>255.02169600000002</v>
      </c>
      <c r="V19" s="33">
        <v>226.96276</v>
      </c>
      <c r="W19" s="33">
        <v>78.001199999999997</v>
      </c>
      <c r="X19" s="33">
        <v>211.25116699999998</v>
      </c>
      <c r="Y19" s="33">
        <v>315.18924900000002</v>
      </c>
      <c r="Z19" s="33">
        <v>300.11632899999995</v>
      </c>
      <c r="AA19" s="33">
        <v>974.59952199999998</v>
      </c>
      <c r="AB19" s="33">
        <v>707.26728899999989</v>
      </c>
      <c r="AC19" s="33">
        <v>456.155395</v>
      </c>
      <c r="AD19" s="33">
        <v>377.68355299999996</v>
      </c>
      <c r="AE19" s="34">
        <f t="shared" si="1"/>
        <v>4213.3641149999994</v>
      </c>
    </row>
    <row r="20" spans="2:31" x14ac:dyDescent="0.35">
      <c r="B20" s="33" t="s">
        <v>126</v>
      </c>
      <c r="C20" s="46">
        <v>130.98582683812003</v>
      </c>
      <c r="D20" s="46">
        <v>93.006300338370011</v>
      </c>
      <c r="E20" s="46">
        <v>112.34137936000002</v>
      </c>
      <c r="F20" s="46">
        <v>176.26164956855996</v>
      </c>
      <c r="G20" s="46">
        <v>127.59417384</v>
      </c>
      <c r="H20" s="46">
        <v>256.29260891000001</v>
      </c>
      <c r="I20" s="46">
        <v>105.85932870999999</v>
      </c>
      <c r="J20" s="46">
        <v>79.381389900000016</v>
      </c>
      <c r="K20" s="46">
        <v>125.64770497424999</v>
      </c>
      <c r="L20" s="46">
        <v>149.95098314299997</v>
      </c>
      <c r="M20" s="46">
        <v>75.7628583857</v>
      </c>
      <c r="N20" s="46">
        <v>87.838826528159998</v>
      </c>
      <c r="O20" s="47">
        <f t="shared" si="0"/>
        <v>1520.9230304961602</v>
      </c>
      <c r="R20" s="33" t="s">
        <v>126</v>
      </c>
      <c r="S20" s="33">
        <v>201.97405800000001</v>
      </c>
      <c r="T20" s="33">
        <v>124.40745799999999</v>
      </c>
      <c r="U20" s="33">
        <v>151.942949</v>
      </c>
      <c r="V20" s="33">
        <v>286.68186700000001</v>
      </c>
      <c r="W20" s="33">
        <v>208.80986199999998</v>
      </c>
      <c r="X20" s="33">
        <v>419.654405</v>
      </c>
      <c r="Y20" s="33">
        <v>133.87881400000003</v>
      </c>
      <c r="Z20" s="33">
        <v>95.284335999999996</v>
      </c>
      <c r="AA20" s="33">
        <v>176.32144099999999</v>
      </c>
      <c r="AB20" s="33">
        <v>200.421358</v>
      </c>
      <c r="AC20" s="33">
        <v>89.766698000000019</v>
      </c>
      <c r="AD20" s="33">
        <v>100.23470899999998</v>
      </c>
      <c r="AE20" s="34">
        <f t="shared" si="1"/>
        <v>2189.3779549999999</v>
      </c>
    </row>
    <row r="21" spans="2:31" ht="15.5" x14ac:dyDescent="0.35">
      <c r="B21" s="36" t="s">
        <v>136</v>
      </c>
      <c r="C21" s="48">
        <f t="shared" ref="C21:O21" si="2">SUM(C10:C20)</f>
        <v>1468.7699797888331</v>
      </c>
      <c r="D21" s="48">
        <f t="shared" si="2"/>
        <v>1260.4155993573199</v>
      </c>
      <c r="E21" s="48">
        <f t="shared" si="2"/>
        <v>1433.7256113093981</v>
      </c>
      <c r="F21" s="48">
        <f t="shared" si="2"/>
        <v>1791.0452809473452</v>
      </c>
      <c r="G21" s="48">
        <f t="shared" si="2"/>
        <v>1849.3999054197268</v>
      </c>
      <c r="H21" s="48">
        <f t="shared" si="2"/>
        <v>1886.1730908383101</v>
      </c>
      <c r="I21" s="48">
        <f t="shared" si="2"/>
        <v>2588.0690073239825</v>
      </c>
      <c r="J21" s="48">
        <f t="shared" si="2"/>
        <v>2147.3137875019411</v>
      </c>
      <c r="K21" s="48">
        <f t="shared" si="2"/>
        <v>2477.8619244948022</v>
      </c>
      <c r="L21" s="48">
        <f t="shared" si="2"/>
        <v>2023.3761672513442</v>
      </c>
      <c r="M21" s="48">
        <f t="shared" si="2"/>
        <v>1981.1152884654159</v>
      </c>
      <c r="N21" s="48">
        <f t="shared" si="2"/>
        <v>2748.317594472684</v>
      </c>
      <c r="O21" s="48">
        <f t="shared" si="2"/>
        <v>23655.583237171104</v>
      </c>
      <c r="R21" s="36" t="s">
        <v>136</v>
      </c>
      <c r="S21" s="37">
        <f t="shared" ref="S21:AE21" si="3">SUM(S10:S20)</f>
        <v>2753.8332110000001</v>
      </c>
      <c r="T21" s="37">
        <f t="shared" si="3"/>
        <v>2586.9049689999997</v>
      </c>
      <c r="U21" s="37">
        <f t="shared" si="3"/>
        <v>2794.9182479999999</v>
      </c>
      <c r="V21" s="37">
        <f t="shared" si="3"/>
        <v>3225.5838739999999</v>
      </c>
      <c r="W21" s="37">
        <f t="shared" si="3"/>
        <v>3042.1672640000006</v>
      </c>
      <c r="X21" s="37">
        <f t="shared" si="3"/>
        <v>3177.5816589999995</v>
      </c>
      <c r="Y21" s="37">
        <f t="shared" si="3"/>
        <v>3719.4544760000003</v>
      </c>
      <c r="Z21" s="37">
        <f t="shared" si="3"/>
        <v>3017.6700969999997</v>
      </c>
      <c r="AA21" s="37">
        <f t="shared" si="3"/>
        <v>4312.8357269999997</v>
      </c>
      <c r="AB21" s="37">
        <f t="shared" si="3"/>
        <v>3518.5189609999998</v>
      </c>
      <c r="AC21" s="37">
        <f t="shared" si="3"/>
        <v>3197.9089509999999</v>
      </c>
      <c r="AD21" s="37">
        <f t="shared" si="3"/>
        <v>3669.3039090000002</v>
      </c>
      <c r="AE21" s="37">
        <f t="shared" si="3"/>
        <v>39016.681345999998</v>
      </c>
    </row>
    <row r="22" spans="2:31" ht="15.5" x14ac:dyDescent="0.35">
      <c r="B22" s="38" t="s">
        <v>137</v>
      </c>
      <c r="C22" s="48">
        <f t="shared" ref="C22:H22" si="4">+C21+C8</f>
        <v>10023.894284955761</v>
      </c>
      <c r="D22" s="48">
        <f t="shared" si="4"/>
        <v>9522.8747327931651</v>
      </c>
      <c r="E22" s="48">
        <f t="shared" si="4"/>
        <v>9722.3895156962244</v>
      </c>
      <c r="F22" s="48">
        <f t="shared" si="4"/>
        <v>9766.6029570411665</v>
      </c>
      <c r="G22" s="48">
        <f t="shared" si="4"/>
        <v>10924.436217984907</v>
      </c>
      <c r="H22" s="48">
        <f t="shared" si="4"/>
        <v>11226.263818972271</v>
      </c>
      <c r="I22" s="48">
        <f t="shared" ref="I22:O22" si="5">+I8+I21</f>
        <v>12224.978796509669</v>
      </c>
      <c r="J22" s="48">
        <f t="shared" si="5"/>
        <v>12735.814664917227</v>
      </c>
      <c r="K22" s="48">
        <f t="shared" si="5"/>
        <v>13364.9512159365</v>
      </c>
      <c r="L22" s="48">
        <f t="shared" si="5"/>
        <v>13596.789685661035</v>
      </c>
      <c r="M22" s="48">
        <f t="shared" si="5"/>
        <v>13599.78240292185</v>
      </c>
      <c r="N22" s="48">
        <f t="shared" si="5"/>
        <v>17621.957861733888</v>
      </c>
      <c r="O22" s="48">
        <f t="shared" si="5"/>
        <v>144330.73615512365</v>
      </c>
      <c r="R22" s="38" t="s">
        <v>137</v>
      </c>
      <c r="S22" s="37">
        <f t="shared" ref="S22:X22" si="6">+S21+S8</f>
        <v>21010.325477788003</v>
      </c>
      <c r="T22" s="37">
        <f t="shared" si="6"/>
        <v>19846.143258191998</v>
      </c>
      <c r="U22" s="37">
        <f t="shared" si="6"/>
        <v>18699.65896492</v>
      </c>
      <c r="V22" s="37">
        <f t="shared" si="6"/>
        <v>18246.799286387002</v>
      </c>
      <c r="W22" s="37">
        <f t="shared" si="6"/>
        <v>20428.853943644997</v>
      </c>
      <c r="X22" s="37">
        <f t="shared" si="6"/>
        <v>20785.116472624999</v>
      </c>
      <c r="Y22" s="37">
        <f t="shared" ref="Y22:AE22" si="7">+Y8+Y21</f>
        <v>20803.629107723998</v>
      </c>
      <c r="Z22" s="37">
        <f t="shared" si="7"/>
        <v>21358.051692481928</v>
      </c>
      <c r="AA22" s="37">
        <f t="shared" si="7"/>
        <v>23960.951530371996</v>
      </c>
      <c r="AB22" s="37">
        <f t="shared" si="7"/>
        <v>22772.322325503614</v>
      </c>
      <c r="AC22" s="37">
        <f t="shared" si="7"/>
        <v>20786.445975211001</v>
      </c>
      <c r="AD22" s="37">
        <f t="shared" si="7"/>
        <v>22700.005747390001</v>
      </c>
      <c r="AE22" s="37">
        <f t="shared" si="7"/>
        <v>251398.3037822395</v>
      </c>
    </row>
    <row r="23" spans="2:31" ht="15.5" x14ac:dyDescent="0.35">
      <c r="B23" s="39" t="s">
        <v>138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  <c r="R23" s="39" t="s">
        <v>138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4"/>
    </row>
    <row r="24" spans="2:31" x14ac:dyDescent="0.35">
      <c r="B24" s="40" t="s">
        <v>116</v>
      </c>
      <c r="C24" s="46">
        <v>31.369760054054051</v>
      </c>
      <c r="D24" s="46">
        <v>34.0250765271105</v>
      </c>
      <c r="E24" s="46">
        <v>23.273816018704078</v>
      </c>
      <c r="F24" s="46">
        <v>21.951973734134938</v>
      </c>
      <c r="G24" s="46">
        <v>33.032529881616547</v>
      </c>
      <c r="H24" s="46">
        <v>35.910804585657914</v>
      </c>
      <c r="I24" s="46">
        <v>35.173918899204239</v>
      </c>
      <c r="J24" s="46">
        <v>43.352093793103442</v>
      </c>
      <c r="K24" s="46">
        <v>50.08529040169693</v>
      </c>
      <c r="L24" s="46">
        <v>46.66527175307322</v>
      </c>
      <c r="M24" s="46">
        <v>40.359463997335105</v>
      </c>
      <c r="N24" s="46">
        <v>34.934265980327865</v>
      </c>
      <c r="O24" s="47">
        <f t="shared" ref="O24:O35" si="8">SUM(C24:N24)</f>
        <v>430.13426562601887</v>
      </c>
      <c r="R24" s="40" t="s">
        <v>116</v>
      </c>
      <c r="S24" s="33">
        <v>42.142876999999906</v>
      </c>
      <c r="T24" s="33">
        <v>46.265394999999963</v>
      </c>
      <c r="U24" s="33">
        <v>35.925487999999937</v>
      </c>
      <c r="V24" s="33">
        <v>31.457394999999984</v>
      </c>
      <c r="W24" s="33">
        <v>42.691433999999923</v>
      </c>
      <c r="X24" s="33">
        <v>44.542219999999872</v>
      </c>
      <c r="Y24" s="33">
        <v>43.818749999999987</v>
      </c>
      <c r="Z24" s="33">
        <v>45.648890000000016</v>
      </c>
      <c r="AA24" s="33">
        <v>49.80387999999995</v>
      </c>
      <c r="AB24" s="33">
        <v>48.911159999999889</v>
      </c>
      <c r="AC24" s="33">
        <v>44.728759999999959</v>
      </c>
      <c r="AD24" s="33">
        <v>36.91987000000001</v>
      </c>
      <c r="AE24" s="34">
        <f t="shared" ref="AE24:AE35" si="9">SUM(S24:AD24)</f>
        <v>512.85611899999935</v>
      </c>
    </row>
    <row r="25" spans="2:31" x14ac:dyDescent="0.35">
      <c r="B25" s="41" t="s">
        <v>127</v>
      </c>
      <c r="C25" s="46">
        <v>590.56355487615565</v>
      </c>
      <c r="D25" s="46">
        <v>889.38228540214789</v>
      </c>
      <c r="E25" s="46">
        <v>796.46657897237287</v>
      </c>
      <c r="F25" s="46">
        <v>736.00282521362442</v>
      </c>
      <c r="G25" s="46">
        <v>634.41226673892265</v>
      </c>
      <c r="H25" s="46">
        <v>629.91608877754823</v>
      </c>
      <c r="I25" s="46">
        <v>837.63566018073448</v>
      </c>
      <c r="J25" s="46">
        <v>829.57402291948608</v>
      </c>
      <c r="K25" s="46">
        <v>1059.4892225122562</v>
      </c>
      <c r="L25" s="46">
        <v>945.43756257687392</v>
      </c>
      <c r="M25" s="46">
        <v>1156.7953373234409</v>
      </c>
      <c r="N25" s="46">
        <v>1773.3529301838096</v>
      </c>
      <c r="O25" s="47">
        <f t="shared" si="8"/>
        <v>10879.028335677373</v>
      </c>
      <c r="R25" s="41" t="s">
        <v>127</v>
      </c>
      <c r="S25" s="33">
        <v>933.65534816369598</v>
      </c>
      <c r="T25" s="33">
        <v>1333.9149429501638</v>
      </c>
      <c r="U25" s="33">
        <v>1145.8825685245542</v>
      </c>
      <c r="V25" s="33">
        <v>1002.1494895554748</v>
      </c>
      <c r="W25" s="33">
        <v>902.64914618770467</v>
      </c>
      <c r="X25" s="33">
        <v>850.82737828192069</v>
      </c>
      <c r="Y25" s="33">
        <v>1005.3885506191343</v>
      </c>
      <c r="Z25" s="33">
        <v>1034.7690135787559</v>
      </c>
      <c r="AA25" s="33">
        <v>1374.1646379447068</v>
      </c>
      <c r="AB25" s="33">
        <v>1082.2732037679157</v>
      </c>
      <c r="AC25" s="33">
        <v>1217.2528505900327</v>
      </c>
      <c r="AD25" s="33">
        <v>1599.5569615056384</v>
      </c>
      <c r="AE25" s="34">
        <f t="shared" si="9"/>
        <v>13482.484091669696</v>
      </c>
    </row>
    <row r="26" spans="2:31" ht="14.5" customHeight="1" x14ac:dyDescent="0.35">
      <c r="B26" s="40" t="s">
        <v>128</v>
      </c>
      <c r="C26" s="46">
        <v>260.81947774827501</v>
      </c>
      <c r="D26" s="46">
        <v>299.07120995999998</v>
      </c>
      <c r="E26" s="46">
        <v>388.28675734550097</v>
      </c>
      <c r="F26" s="46">
        <v>322.99026397985506</v>
      </c>
      <c r="G26" s="46">
        <v>415.326092305808</v>
      </c>
      <c r="H26" s="46">
        <v>442.23012029434005</v>
      </c>
      <c r="I26" s="46">
        <v>404.62138557962902</v>
      </c>
      <c r="J26" s="46">
        <v>456.36267804362296</v>
      </c>
      <c r="K26" s="46">
        <v>459.47868141345896</v>
      </c>
      <c r="L26" s="46">
        <v>386.23964906568403</v>
      </c>
      <c r="M26" s="46">
        <v>370.63763435414154</v>
      </c>
      <c r="N26" s="46">
        <v>777.82980260000011</v>
      </c>
      <c r="O26" s="47">
        <f t="shared" si="8"/>
        <v>4983.8937526903164</v>
      </c>
      <c r="R26" s="40" t="s">
        <v>128</v>
      </c>
      <c r="S26" s="33">
        <v>457.54318899999998</v>
      </c>
      <c r="T26" s="33">
        <v>499.36016499999999</v>
      </c>
      <c r="U26" s="33">
        <v>607.69646899999998</v>
      </c>
      <c r="V26" s="33">
        <v>477.06042000000002</v>
      </c>
      <c r="W26" s="33">
        <v>634.7844960000001</v>
      </c>
      <c r="X26" s="33">
        <v>655.59835899999996</v>
      </c>
      <c r="Y26" s="33">
        <v>551.06214299999988</v>
      </c>
      <c r="Z26" s="33">
        <v>595.36748699999998</v>
      </c>
      <c r="AA26" s="33">
        <v>642.20263199999999</v>
      </c>
      <c r="AB26" s="33">
        <v>511.07751500000006</v>
      </c>
      <c r="AC26" s="33">
        <v>438.12621499999995</v>
      </c>
      <c r="AD26" s="33">
        <v>791.24055299999998</v>
      </c>
      <c r="AE26" s="34">
        <f t="shared" si="9"/>
        <v>6861.1196430000009</v>
      </c>
    </row>
    <row r="27" spans="2:31" x14ac:dyDescent="0.35">
      <c r="B27" s="40" t="s">
        <v>129</v>
      </c>
      <c r="C27" s="46">
        <v>140.64305642054055</v>
      </c>
      <c r="D27" s="46">
        <v>232.41715335470829</v>
      </c>
      <c r="E27" s="46">
        <v>290.8375180682699</v>
      </c>
      <c r="F27" s="46">
        <v>204.18299277610808</v>
      </c>
      <c r="G27" s="46">
        <v>187.64143115672334</v>
      </c>
      <c r="H27" s="46">
        <v>182.90237140079603</v>
      </c>
      <c r="I27" s="46">
        <v>325.36141313737403</v>
      </c>
      <c r="J27" s="46">
        <v>389.43515132774536</v>
      </c>
      <c r="K27" s="46">
        <v>376.85216841899512</v>
      </c>
      <c r="L27" s="46">
        <v>338.2721471971139</v>
      </c>
      <c r="M27" s="46">
        <v>350.02464480205197</v>
      </c>
      <c r="N27" s="46">
        <v>642.12584623688531</v>
      </c>
      <c r="O27" s="47">
        <f t="shared" si="8"/>
        <v>3660.6958942973124</v>
      </c>
      <c r="R27" s="40" t="s">
        <v>129</v>
      </c>
      <c r="S27" s="33">
        <v>269.7056136024845</v>
      </c>
      <c r="T27" s="33">
        <v>418.25226362732923</v>
      </c>
      <c r="U27" s="33">
        <v>492.61240464596278</v>
      </c>
      <c r="V27" s="33">
        <v>336.07379945962737</v>
      </c>
      <c r="W27" s="33">
        <v>323.61379876397513</v>
      </c>
      <c r="X27" s="33">
        <v>292.48856064596271</v>
      </c>
      <c r="Y27" s="33">
        <v>452.59235336024847</v>
      </c>
      <c r="Z27" s="33">
        <v>552.06717996273301</v>
      </c>
      <c r="AA27" s="33">
        <v>568.7332752608695</v>
      </c>
      <c r="AB27" s="33">
        <v>447.91662872049693</v>
      </c>
      <c r="AC27" s="33">
        <v>413.9881082173913</v>
      </c>
      <c r="AD27" s="33">
        <v>617.46902853416145</v>
      </c>
      <c r="AE27" s="34">
        <f t="shared" si="9"/>
        <v>5185.5130148012422</v>
      </c>
    </row>
    <row r="28" spans="2:31" x14ac:dyDescent="0.35">
      <c r="B28" s="35" t="s">
        <v>120</v>
      </c>
      <c r="C28" s="46">
        <v>0.81241721621621621</v>
      </c>
      <c r="D28" s="46">
        <v>0.80977309540150999</v>
      </c>
      <c r="E28" s="46">
        <v>1.179348710754843</v>
      </c>
      <c r="F28" s="46">
        <v>0.76107987975951907</v>
      </c>
      <c r="G28" s="46">
        <v>0.4486686760103416</v>
      </c>
      <c r="H28" s="46">
        <v>0.72629555041502247</v>
      </c>
      <c r="I28" s="46">
        <v>0.72602790450928367</v>
      </c>
      <c r="J28" s="46">
        <v>1.0645081432360741</v>
      </c>
      <c r="K28" s="46">
        <v>0.98189944319236366</v>
      </c>
      <c r="L28" s="46">
        <v>0.9097174772848744</v>
      </c>
      <c r="M28" s="46">
        <v>0.8874547901399068</v>
      </c>
      <c r="N28" s="46">
        <v>0.97998613770491816</v>
      </c>
      <c r="O28" s="47">
        <f t="shared" si="8"/>
        <v>10.287177024624874</v>
      </c>
      <c r="R28" s="35" t="s">
        <v>120</v>
      </c>
      <c r="S28" s="33">
        <v>1.3559852814530651</v>
      </c>
      <c r="T28" s="33">
        <v>1.32466922414468</v>
      </c>
      <c r="U28" s="33">
        <v>1.8476473811947074</v>
      </c>
      <c r="V28" s="33">
        <v>1.1430360917560478</v>
      </c>
      <c r="W28" s="33">
        <v>0.64197917482188982</v>
      </c>
      <c r="X28" s="33">
        <v>1.0804039771392782</v>
      </c>
      <c r="Y28" s="33">
        <v>1.0490879198308933</v>
      </c>
      <c r="Z28" s="33">
        <v>1.3090111954904875</v>
      </c>
      <c r="AA28" s="33">
        <v>1.2369842636812025</v>
      </c>
      <c r="AB28" s="33">
        <v>1.22132623502701</v>
      </c>
      <c r="AC28" s="33">
        <v>1.0584827370234087</v>
      </c>
      <c r="AD28" s="33">
        <v>1.0522195255617317</v>
      </c>
      <c r="AE28" s="34">
        <f t="shared" si="9"/>
        <v>14.320833007124403</v>
      </c>
    </row>
    <row r="29" spans="2:31" x14ac:dyDescent="0.35">
      <c r="B29" s="33" t="s">
        <v>121</v>
      </c>
      <c r="C29" s="46">
        <v>967.51235529390453</v>
      </c>
      <c r="D29" s="46">
        <v>1616.330930631216</v>
      </c>
      <c r="E29" s="46">
        <v>1666.9479984543759</v>
      </c>
      <c r="F29" s="46">
        <v>1349.7338356598543</v>
      </c>
      <c r="G29" s="46">
        <v>1481.3026024430187</v>
      </c>
      <c r="H29" s="46">
        <v>1714.600808293053</v>
      </c>
      <c r="I29" s="46">
        <v>2039.4359522224643</v>
      </c>
      <c r="J29" s="46">
        <v>1899.4924024184611</v>
      </c>
      <c r="K29" s="46">
        <v>1970.5240515404694</v>
      </c>
      <c r="L29" s="46">
        <v>1904.0331047646766</v>
      </c>
      <c r="M29" s="46">
        <v>1991.8067637540496</v>
      </c>
      <c r="N29" s="46">
        <v>3486.4778858757609</v>
      </c>
      <c r="O29" s="47">
        <f t="shared" si="8"/>
        <v>22088.198691351299</v>
      </c>
      <c r="R29" s="33" t="s">
        <v>121</v>
      </c>
      <c r="S29" s="33">
        <v>1879.5287346805671</v>
      </c>
      <c r="T29" s="33">
        <v>2945.4862908965802</v>
      </c>
      <c r="U29" s="33">
        <v>2833.7165696914089</v>
      </c>
      <c r="V29" s="33">
        <v>2258.5186725913259</v>
      </c>
      <c r="W29" s="33">
        <v>2603.4563720992501</v>
      </c>
      <c r="X29" s="33">
        <v>2794.7441475454552</v>
      </c>
      <c r="Y29" s="33">
        <v>2896.6405444220177</v>
      </c>
      <c r="Z29" s="33">
        <v>2780.9197039599667</v>
      </c>
      <c r="AA29" s="33">
        <v>3056.9062896997498</v>
      </c>
      <c r="AB29" s="33">
        <v>2578.1088722085069</v>
      </c>
      <c r="AC29" s="33">
        <v>2414.5532217564637</v>
      </c>
      <c r="AD29" s="33">
        <v>3364.574632908797</v>
      </c>
      <c r="AE29" s="34">
        <f t="shared" si="9"/>
        <v>32407.154052460093</v>
      </c>
    </row>
    <row r="30" spans="2:31" x14ac:dyDescent="0.35">
      <c r="B30" s="33" t="s">
        <v>130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1.5035354214276113E-2</v>
      </c>
      <c r="L30" s="46">
        <v>1.4626600853788689E-2</v>
      </c>
      <c r="M30" s="46">
        <v>0</v>
      </c>
      <c r="N30" s="46">
        <v>0</v>
      </c>
      <c r="O30" s="47">
        <f t="shared" si="8"/>
        <v>2.9661955068064801E-2</v>
      </c>
      <c r="R30" s="33" t="s">
        <v>130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1.898E-2</v>
      </c>
      <c r="AB30" s="33">
        <v>1.8120000000000001E-2</v>
      </c>
      <c r="AC30" s="33">
        <v>0</v>
      </c>
      <c r="AD30" s="33">
        <v>0</v>
      </c>
      <c r="AE30" s="34">
        <f t="shared" si="9"/>
        <v>3.7100000000000001E-2</v>
      </c>
    </row>
    <row r="31" spans="2:31" x14ac:dyDescent="0.35">
      <c r="B31" s="33" t="s">
        <v>131</v>
      </c>
      <c r="C31" s="46">
        <v>0.4543593941874744</v>
      </c>
      <c r="D31" s="46">
        <v>0.10823400465817236</v>
      </c>
      <c r="E31" s="46">
        <v>0.80326116011761561</v>
      </c>
      <c r="F31" s="46">
        <v>0.41750570546382071</v>
      </c>
      <c r="G31" s="46">
        <v>1.0609756097560974</v>
      </c>
      <c r="H31" s="46">
        <v>0.73558914002942355</v>
      </c>
      <c r="I31" s="46">
        <v>0.65381504448638439</v>
      </c>
      <c r="J31" s="46">
        <v>0.76135608978616021</v>
      </c>
      <c r="K31" s="46">
        <v>2.2476139266030377</v>
      </c>
      <c r="L31" s="46">
        <v>0.80576307363927435</v>
      </c>
      <c r="M31" s="46">
        <v>4.6281587508132729</v>
      </c>
      <c r="N31" s="46">
        <v>2.59144063060686</v>
      </c>
      <c r="O31" s="47">
        <f t="shared" si="8"/>
        <v>15.268072530147593</v>
      </c>
      <c r="R31" s="33" t="s">
        <v>131</v>
      </c>
      <c r="S31" s="33">
        <v>0.23380999999999999</v>
      </c>
      <c r="T31" s="33">
        <v>4.7979999999999995E-2</v>
      </c>
      <c r="U31" s="33">
        <v>0.39267999999999997</v>
      </c>
      <c r="V31" s="33">
        <v>0.21840999999999999</v>
      </c>
      <c r="W31" s="33">
        <v>0.47266000000000002</v>
      </c>
      <c r="X31" s="33">
        <v>0.33115999999999995</v>
      </c>
      <c r="Y31" s="33">
        <v>0.30480000000000002</v>
      </c>
      <c r="Z31" s="33">
        <v>0.38628000000000001</v>
      </c>
      <c r="AA31" s="33">
        <v>1.0212700000000001</v>
      </c>
      <c r="AB31" s="33">
        <v>0.41170000000000001</v>
      </c>
      <c r="AC31" s="33">
        <v>5.3251099999999996</v>
      </c>
      <c r="AD31" s="33">
        <v>1.2160799999999998</v>
      </c>
      <c r="AE31" s="34">
        <f t="shared" si="9"/>
        <v>10.361940000000001</v>
      </c>
    </row>
    <row r="32" spans="2:31" x14ac:dyDescent="0.35">
      <c r="B32" s="33" t="s">
        <v>123</v>
      </c>
      <c r="C32" s="46">
        <v>38.86</v>
      </c>
      <c r="D32" s="46">
        <v>104.39220815759001</v>
      </c>
      <c r="E32" s="46">
        <v>88.539541824118004</v>
      </c>
      <c r="F32" s="46">
        <v>142.92156074935201</v>
      </c>
      <c r="G32" s="46">
        <v>78.999754730679996</v>
      </c>
      <c r="H32" s="46">
        <v>68.355738139911992</v>
      </c>
      <c r="I32" s="46">
        <v>60.193781918948005</v>
      </c>
      <c r="J32" s="46">
        <v>35.447699647770129</v>
      </c>
      <c r="K32" s="46">
        <v>64.187314720821732</v>
      </c>
      <c r="L32" s="46">
        <v>82.306402656508936</v>
      </c>
      <c r="M32" s="46">
        <v>53.172222697189994</v>
      </c>
      <c r="N32" s="46">
        <v>72.951309895121994</v>
      </c>
      <c r="O32" s="47">
        <f t="shared" si="8"/>
        <v>890.32753513801288</v>
      </c>
      <c r="R32" s="33" t="s">
        <v>123</v>
      </c>
      <c r="S32" s="33">
        <v>80</v>
      </c>
      <c r="T32" s="33">
        <v>231.916248</v>
      </c>
      <c r="U32" s="33">
        <v>200.01552700000002</v>
      </c>
      <c r="V32" s="33">
        <v>298.84306700000002</v>
      </c>
      <c r="W32" s="33">
        <v>154.737449</v>
      </c>
      <c r="X32" s="33">
        <v>127.200748</v>
      </c>
      <c r="Y32" s="33">
        <v>111.14792199999999</v>
      </c>
      <c r="Z32" s="33">
        <v>68.042749999999998</v>
      </c>
      <c r="AA32" s="33">
        <v>138.32843</v>
      </c>
      <c r="AB32" s="33">
        <v>164.85607899999999</v>
      </c>
      <c r="AC32" s="33">
        <v>90.037104999999997</v>
      </c>
      <c r="AD32" s="33">
        <v>92.19612699999999</v>
      </c>
      <c r="AE32" s="34">
        <f t="shared" si="9"/>
        <v>1757.3214519999999</v>
      </c>
    </row>
    <row r="33" spans="2:31" x14ac:dyDescent="0.35">
      <c r="B33" s="33" t="s">
        <v>124</v>
      </c>
      <c r="C33" s="46">
        <v>9.7150034111065611E-2</v>
      </c>
      <c r="D33" s="46">
        <v>0</v>
      </c>
      <c r="E33" s="46">
        <v>0</v>
      </c>
      <c r="F33" s="46">
        <v>0</v>
      </c>
      <c r="G33" s="46">
        <v>0</v>
      </c>
      <c r="H33" s="46">
        <v>1.1553909455664038</v>
      </c>
      <c r="I33" s="46">
        <v>2.4955764626583981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7">
        <f t="shared" si="8"/>
        <v>3.7481174423358672</v>
      </c>
      <c r="R33" s="33" t="s">
        <v>124</v>
      </c>
      <c r="S33" s="33">
        <v>0.155</v>
      </c>
      <c r="T33" s="33">
        <v>0</v>
      </c>
      <c r="U33" s="33">
        <v>0</v>
      </c>
      <c r="V33" s="33">
        <v>0</v>
      </c>
      <c r="W33" s="33">
        <v>0</v>
      </c>
      <c r="X33" s="33">
        <v>2.0386800000000003</v>
      </c>
      <c r="Y33" s="33">
        <v>3.9802800000000005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4">
        <f t="shared" si="9"/>
        <v>6.173960000000001</v>
      </c>
    </row>
    <row r="34" spans="2:31" x14ac:dyDescent="0.35">
      <c r="B34" s="33" t="s">
        <v>132</v>
      </c>
      <c r="C34" s="46">
        <v>0.35438199999999997</v>
      </c>
      <c r="D34" s="46">
        <v>5.4987070499657772E-2</v>
      </c>
      <c r="E34" s="46">
        <v>0.11014475847750863</v>
      </c>
      <c r="F34" s="46">
        <v>8.6207564266304354E-2</v>
      </c>
      <c r="G34" s="46">
        <v>19.965745184850139</v>
      </c>
      <c r="H34" s="46">
        <v>21.485551823391003</v>
      </c>
      <c r="I34" s="46">
        <v>25.509207490600001</v>
      </c>
      <c r="J34" s="46">
        <v>0</v>
      </c>
      <c r="K34" s="46">
        <v>5.5307756603773579E-2</v>
      </c>
      <c r="L34" s="46">
        <v>0</v>
      </c>
      <c r="M34" s="46">
        <v>4.47</v>
      </c>
      <c r="N34" s="46">
        <v>2.307525</v>
      </c>
      <c r="O34" s="47">
        <f t="shared" si="8"/>
        <v>74.399058648688381</v>
      </c>
      <c r="R34" s="33" t="s">
        <v>132</v>
      </c>
      <c r="S34" s="33">
        <v>0.753</v>
      </c>
      <c r="T34" s="33">
        <v>0.1135</v>
      </c>
      <c r="U34" s="33">
        <v>0.22719999999999999</v>
      </c>
      <c r="V34" s="33">
        <v>0.16631000000000001</v>
      </c>
      <c r="W34" s="33">
        <v>41.902057000000006</v>
      </c>
      <c r="X34" s="33">
        <v>42.078795999999997</v>
      </c>
      <c r="Y34" s="33">
        <v>52.198067000000002</v>
      </c>
      <c r="Z34" s="33">
        <v>0</v>
      </c>
      <c r="AA34" s="33">
        <v>0.10038000000000001</v>
      </c>
      <c r="AB34" s="33">
        <v>0</v>
      </c>
      <c r="AC34" s="33">
        <v>44</v>
      </c>
      <c r="AD34" s="33">
        <v>5.5</v>
      </c>
      <c r="AE34" s="34">
        <f t="shared" si="9"/>
        <v>187.03931</v>
      </c>
    </row>
    <row r="35" spans="2:31" x14ac:dyDescent="0.35">
      <c r="B35" s="33" t="s">
        <v>133</v>
      </c>
      <c r="C35" s="33">
        <v>135.92305882502399</v>
      </c>
      <c r="D35" s="33">
        <v>152.16899657034025</v>
      </c>
      <c r="E35" s="33">
        <v>131.63015146261435</v>
      </c>
      <c r="F35" s="33">
        <v>145.889767705813</v>
      </c>
      <c r="G35" s="33">
        <v>54.675045337830539</v>
      </c>
      <c r="H35" s="33">
        <v>77.097868457196995</v>
      </c>
      <c r="I35" s="33">
        <v>111.25210450731825</v>
      </c>
      <c r="J35" s="33">
        <v>78.941561492244531</v>
      </c>
      <c r="K35" s="33">
        <v>98.777330587272843</v>
      </c>
      <c r="L35" s="33">
        <v>142.21592729635</v>
      </c>
      <c r="M35" s="33">
        <v>113.64824440564199</v>
      </c>
      <c r="N35" s="33">
        <v>159.83910310257497</v>
      </c>
      <c r="O35" s="47">
        <f t="shared" si="8"/>
        <v>1402.0591597502214</v>
      </c>
      <c r="R35" s="33" t="s">
        <v>133</v>
      </c>
      <c r="S35" s="33">
        <v>250.97532800000005</v>
      </c>
      <c r="T35" s="33">
        <v>259.71306900000002</v>
      </c>
      <c r="U35" s="33">
        <v>192.835308</v>
      </c>
      <c r="V35" s="33">
        <v>294.07480999999996</v>
      </c>
      <c r="W35" s="33">
        <v>98.094487322999996</v>
      </c>
      <c r="X35" s="33">
        <v>131.42255682400003</v>
      </c>
      <c r="Y35" s="33">
        <v>190.45461300000002</v>
      </c>
      <c r="Z35" s="33">
        <v>114.80344600000001</v>
      </c>
      <c r="AA35" s="33">
        <v>143.32637800000001</v>
      </c>
      <c r="AB35" s="33">
        <v>236.61514199999999</v>
      </c>
      <c r="AC35" s="33">
        <v>185.590408</v>
      </c>
      <c r="AD35" s="33">
        <v>232.25422100000003</v>
      </c>
      <c r="AE35" s="34">
        <f t="shared" si="9"/>
        <v>2330.1597671470004</v>
      </c>
    </row>
    <row r="36" spans="2:31" ht="15.5" x14ac:dyDescent="0.35">
      <c r="B36" s="42" t="s">
        <v>139</v>
      </c>
      <c r="C36" s="48">
        <f t="shared" ref="C36:O36" si="10">SUM(C24:C35)</f>
        <v>2167.4095718624685</v>
      </c>
      <c r="D36" s="48">
        <f t="shared" si="10"/>
        <v>3328.7608547736722</v>
      </c>
      <c r="E36" s="48">
        <f t="shared" si="10"/>
        <v>3388.0751167753056</v>
      </c>
      <c r="F36" s="48">
        <f t="shared" si="10"/>
        <v>2924.9380129682313</v>
      </c>
      <c r="G36" s="48">
        <f t="shared" si="10"/>
        <v>2906.8651120652157</v>
      </c>
      <c r="H36" s="48">
        <f t="shared" si="10"/>
        <v>3175.1166274079055</v>
      </c>
      <c r="I36" s="48">
        <f t="shared" si="10"/>
        <v>3843.0588433479261</v>
      </c>
      <c r="J36" s="48">
        <f t="shared" si="10"/>
        <v>3734.431473875456</v>
      </c>
      <c r="K36" s="48">
        <f t="shared" si="10"/>
        <v>4082.6939160755851</v>
      </c>
      <c r="L36" s="48">
        <f t="shared" si="10"/>
        <v>3846.9001724620584</v>
      </c>
      <c r="M36" s="48">
        <f t="shared" si="10"/>
        <v>4086.4299248748039</v>
      </c>
      <c r="N36" s="48">
        <f t="shared" si="10"/>
        <v>6953.3900956427924</v>
      </c>
      <c r="O36" s="48">
        <f t="shared" si="10"/>
        <v>44438.069722131419</v>
      </c>
      <c r="R36" s="42" t="s">
        <v>139</v>
      </c>
      <c r="S36" s="37">
        <f t="shared" ref="S36:AE36" si="11">SUM(S24:S35)</f>
        <v>3916.0488857282007</v>
      </c>
      <c r="T36" s="37">
        <f t="shared" si="11"/>
        <v>5736.3945236982181</v>
      </c>
      <c r="U36" s="37">
        <f t="shared" si="11"/>
        <v>5511.1518622431204</v>
      </c>
      <c r="V36" s="37">
        <f t="shared" si="11"/>
        <v>4699.7054096981847</v>
      </c>
      <c r="W36" s="37">
        <f t="shared" si="11"/>
        <v>4803.0438795487526</v>
      </c>
      <c r="X36" s="37">
        <f t="shared" si="11"/>
        <v>4942.3530102744771</v>
      </c>
      <c r="Y36" s="37">
        <f t="shared" si="11"/>
        <v>5308.6371113212308</v>
      </c>
      <c r="Z36" s="37">
        <f t="shared" si="11"/>
        <v>5193.3137616969452</v>
      </c>
      <c r="AA36" s="37">
        <f t="shared" si="11"/>
        <v>5975.8431371690058</v>
      </c>
      <c r="AB36" s="37">
        <f t="shared" si="11"/>
        <v>5071.4097469319458</v>
      </c>
      <c r="AC36" s="37">
        <f t="shared" si="11"/>
        <v>4854.6602613009118</v>
      </c>
      <c r="AD36" s="37">
        <f t="shared" si="11"/>
        <v>6741.9796934741589</v>
      </c>
      <c r="AE36" s="37">
        <f t="shared" si="11"/>
        <v>62754.541283085164</v>
      </c>
    </row>
    <row r="37" spans="2:31" ht="15.5" x14ac:dyDescent="0.35">
      <c r="B37" s="38" t="s">
        <v>140</v>
      </c>
      <c r="C37" s="48">
        <f t="shared" ref="C37:O37" si="12">+C22-C36</f>
        <v>7856.4847130932922</v>
      </c>
      <c r="D37" s="48">
        <f t="shared" si="12"/>
        <v>6194.1138780194924</v>
      </c>
      <c r="E37" s="48">
        <f t="shared" si="12"/>
        <v>6334.3143989209184</v>
      </c>
      <c r="F37" s="48">
        <f t="shared" si="12"/>
        <v>6841.6649440729352</v>
      </c>
      <c r="G37" s="48">
        <f t="shared" si="12"/>
        <v>8017.571105919691</v>
      </c>
      <c r="H37" s="48">
        <f t="shared" si="12"/>
        <v>8051.1471915643651</v>
      </c>
      <c r="I37" s="48">
        <f t="shared" si="12"/>
        <v>8381.9199531617433</v>
      </c>
      <c r="J37" s="48">
        <f t="shared" si="12"/>
        <v>9001.3831910417703</v>
      </c>
      <c r="K37" s="48">
        <f t="shared" si="12"/>
        <v>9282.2572998609157</v>
      </c>
      <c r="L37" s="48">
        <f t="shared" si="12"/>
        <v>9749.8895131989775</v>
      </c>
      <c r="M37" s="48">
        <f t="shared" si="12"/>
        <v>9513.352478047047</v>
      </c>
      <c r="N37" s="48">
        <f t="shared" si="12"/>
        <v>10668.567766091095</v>
      </c>
      <c r="O37" s="48">
        <f t="shared" si="12"/>
        <v>99892.666432992235</v>
      </c>
      <c r="R37" s="38" t="s">
        <v>140</v>
      </c>
      <c r="S37" s="37">
        <f t="shared" ref="S37:AE37" si="13">+S22-S36</f>
        <v>17094.276592059803</v>
      </c>
      <c r="T37" s="37">
        <f t="shared" si="13"/>
        <v>14109.74873449378</v>
      </c>
      <c r="U37" s="37">
        <f t="shared" si="13"/>
        <v>13188.507102676878</v>
      </c>
      <c r="V37" s="37">
        <f t="shared" si="13"/>
        <v>13547.093876688818</v>
      </c>
      <c r="W37" s="37">
        <f t="shared" si="13"/>
        <v>15625.810064096244</v>
      </c>
      <c r="X37" s="37">
        <f t="shared" si="13"/>
        <v>15842.763462350522</v>
      </c>
      <c r="Y37" s="37">
        <f t="shared" si="13"/>
        <v>15494.991996402769</v>
      </c>
      <c r="Z37" s="37">
        <f t="shared" si="13"/>
        <v>16164.737930784982</v>
      </c>
      <c r="AA37" s="37">
        <f t="shared" si="13"/>
        <v>17985.108393202991</v>
      </c>
      <c r="AB37" s="37">
        <f t="shared" si="13"/>
        <v>17700.912578571668</v>
      </c>
      <c r="AC37" s="37">
        <f t="shared" si="13"/>
        <v>15931.785713910089</v>
      </c>
      <c r="AD37" s="37">
        <f t="shared" si="13"/>
        <v>15958.026053915843</v>
      </c>
      <c r="AE37" s="37">
        <f t="shared" si="13"/>
        <v>188643.76249915434</v>
      </c>
    </row>
  </sheetData>
  <mergeCells count="4">
    <mergeCell ref="R5:AE5"/>
    <mergeCell ref="B5:O5"/>
    <mergeCell ref="B4:O4"/>
    <mergeCell ref="R4:A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1AC4-9F7E-47E5-A3FE-150A29DD3793}">
  <dimension ref="B4:AD37"/>
  <sheetViews>
    <sheetView topLeftCell="N1" workbookViewId="0">
      <selection activeCell="R8" sqref="R8:AC8"/>
    </sheetView>
  </sheetViews>
  <sheetFormatPr defaultRowHeight="14.5" x14ac:dyDescent="0.35"/>
  <cols>
    <col min="2" max="2" width="29.90625" bestFit="1" customWidth="1"/>
    <col min="3" max="3" width="8.90625" bestFit="1" customWidth="1"/>
    <col min="4" max="4" width="7.08984375" bestFit="1" customWidth="1"/>
    <col min="5" max="5" width="7.6328125" bestFit="1" customWidth="1"/>
    <col min="6" max="6" width="7.7265625" bestFit="1" customWidth="1"/>
    <col min="7" max="7" width="11.54296875" bestFit="1" customWidth="1"/>
    <col min="8" max="8" width="17" bestFit="1" customWidth="1"/>
    <col min="9" max="9" width="13.90625" bestFit="1" customWidth="1"/>
    <col min="10" max="10" width="16.1796875" bestFit="1" customWidth="1"/>
    <col min="11" max="11" width="15.90625" bestFit="1" customWidth="1"/>
    <col min="12" max="12" width="13.36328125" bestFit="1" customWidth="1"/>
    <col min="13" max="13" width="15.453125" bestFit="1" customWidth="1"/>
    <col min="14" max="14" width="10.81640625" bestFit="1" customWidth="1"/>
    <col min="15" max="15" width="9.81640625" bestFit="1" customWidth="1"/>
    <col min="17" max="17" width="29.90625" bestFit="1" customWidth="1"/>
    <col min="18" max="18" width="8.90625" bestFit="1" customWidth="1"/>
    <col min="19" max="19" width="7.08984375" bestFit="1" customWidth="1"/>
    <col min="20" max="20" width="7.6328125" bestFit="1" customWidth="1"/>
    <col min="21" max="21" width="7.7265625" bestFit="1" customWidth="1"/>
    <col min="22" max="22" width="11.54296875" bestFit="1" customWidth="1"/>
    <col min="23" max="23" width="17" bestFit="1" customWidth="1"/>
    <col min="24" max="24" width="13.90625" bestFit="1" customWidth="1"/>
    <col min="25" max="25" width="16.1796875" bestFit="1" customWidth="1"/>
    <col min="26" max="26" width="15.90625" bestFit="1" customWidth="1"/>
    <col min="27" max="27" width="13.36328125" bestFit="1" customWidth="1"/>
    <col min="28" max="28" width="15.453125" bestFit="1" customWidth="1"/>
    <col min="29" max="29" width="10.81640625" bestFit="1" customWidth="1"/>
    <col min="30" max="30" width="9.81640625" bestFit="1" customWidth="1"/>
  </cols>
  <sheetData>
    <row r="4" spans="2:30" x14ac:dyDescent="0.35">
      <c r="B4" s="71" t="s">
        <v>141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Q4" s="72" t="s">
        <v>142</v>
      </c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</row>
    <row r="5" spans="2:30" ht="17.5" x14ac:dyDescent="0.35">
      <c r="B5" s="70" t="s">
        <v>100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Q5" s="69" t="s">
        <v>100</v>
      </c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</row>
    <row r="6" spans="2:30" ht="17.5" x14ac:dyDescent="0.35">
      <c r="B6" s="43" t="s">
        <v>101</v>
      </c>
      <c r="C6" s="44" t="s">
        <v>102</v>
      </c>
      <c r="D6" s="44" t="s">
        <v>103</v>
      </c>
      <c r="E6" s="44" t="s">
        <v>104</v>
      </c>
      <c r="F6" s="44" t="s">
        <v>105</v>
      </c>
      <c r="G6" s="44" t="s">
        <v>106</v>
      </c>
      <c r="H6" s="44" t="s">
        <v>107</v>
      </c>
      <c r="I6" s="44" t="s">
        <v>108</v>
      </c>
      <c r="J6" s="44" t="s">
        <v>109</v>
      </c>
      <c r="K6" s="44" t="s">
        <v>110</v>
      </c>
      <c r="L6" s="44" t="s">
        <v>111</v>
      </c>
      <c r="M6" s="44" t="s">
        <v>112</v>
      </c>
      <c r="N6" s="44" t="s">
        <v>113</v>
      </c>
      <c r="O6" s="44" t="s">
        <v>114</v>
      </c>
      <c r="Q6" s="28" t="s">
        <v>101</v>
      </c>
      <c r="R6" s="29" t="s">
        <v>102</v>
      </c>
      <c r="S6" s="29" t="s">
        <v>103</v>
      </c>
      <c r="T6" s="29" t="s">
        <v>104</v>
      </c>
      <c r="U6" s="29" t="s">
        <v>105</v>
      </c>
      <c r="V6" s="29" t="s">
        <v>106</v>
      </c>
      <c r="W6" s="29" t="s">
        <v>107</v>
      </c>
      <c r="X6" s="29" t="s">
        <v>108</v>
      </c>
      <c r="Y6" s="29" t="s">
        <v>109</v>
      </c>
      <c r="Z6" s="29" t="s">
        <v>110</v>
      </c>
      <c r="AA6" s="29" t="s">
        <v>111</v>
      </c>
      <c r="AB6" s="29" t="s">
        <v>112</v>
      </c>
      <c r="AC6" s="29" t="s">
        <v>113</v>
      </c>
      <c r="AD6" s="29" t="s">
        <v>114</v>
      </c>
    </row>
    <row r="7" spans="2:30" ht="15.5" x14ac:dyDescent="0.35">
      <c r="B7" s="30" t="s">
        <v>134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Q7" s="30" t="s">
        <v>134</v>
      </c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2:30" ht="15.5" x14ac:dyDescent="0.35">
      <c r="B8" s="32" t="s">
        <v>115</v>
      </c>
      <c r="C8" s="46">
        <v>16814.63885159072</v>
      </c>
      <c r="D8" s="46">
        <v>15468.77842943227</v>
      </c>
      <c r="E8" s="46">
        <v>15596.965701493482</v>
      </c>
      <c r="F8" s="46">
        <v>16264.642870403179</v>
      </c>
      <c r="G8" s="46">
        <v>13107.363864410439</v>
      </c>
      <c r="H8" s="46">
        <v>11827.3068625909</v>
      </c>
      <c r="I8" s="46">
        <v>12086.554987723201</v>
      </c>
      <c r="J8" s="46">
        <v>12252.886624445022</v>
      </c>
      <c r="K8" s="46">
        <v>11445.029806847097</v>
      </c>
      <c r="L8" s="46">
        <v>11350.712839064225</v>
      </c>
      <c r="M8" s="46">
        <v>10421.176769331698</v>
      </c>
      <c r="N8" s="46">
        <v>10894.966503463778</v>
      </c>
      <c r="O8" s="47">
        <f>SUM(C8:N8)</f>
        <v>157531.02411079602</v>
      </c>
      <c r="Q8" s="32" t="s">
        <v>115</v>
      </c>
      <c r="R8" s="33">
        <v>21626.169696185003</v>
      </c>
      <c r="S8" s="33">
        <v>19644.253621534997</v>
      </c>
      <c r="T8" s="33">
        <v>19209.652005542004</v>
      </c>
      <c r="U8" s="33">
        <v>20624.253959481997</v>
      </c>
      <c r="V8" s="33">
        <v>17637.212315264998</v>
      </c>
      <c r="W8" s="33">
        <v>16772.209972765002</v>
      </c>
      <c r="X8" s="33">
        <v>18123.446675544998</v>
      </c>
      <c r="Y8" s="33">
        <v>19003.280854934001</v>
      </c>
      <c r="Z8" s="33">
        <v>19617.709583499</v>
      </c>
      <c r="AA8" s="33">
        <v>20229.309738625001</v>
      </c>
      <c r="AB8" s="33">
        <v>19284.873472954998</v>
      </c>
      <c r="AC8" s="33">
        <v>20928.040082494001</v>
      </c>
      <c r="AD8" s="34">
        <f>SUM(R8:AC8)</f>
        <v>232700.41197882604</v>
      </c>
    </row>
    <row r="9" spans="2:30" ht="15.5" x14ac:dyDescent="0.35">
      <c r="B9" s="32" t="s">
        <v>135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7"/>
      <c r="Q9" s="32" t="s">
        <v>135</v>
      </c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4"/>
    </row>
    <row r="10" spans="2:30" x14ac:dyDescent="0.35">
      <c r="B10" s="33" t="s">
        <v>116</v>
      </c>
      <c r="C10" s="46">
        <v>1536.0093605733496</v>
      </c>
      <c r="D10" s="46">
        <v>1197.7126453309281</v>
      </c>
      <c r="E10" s="46">
        <v>971.16692761224874</v>
      </c>
      <c r="F10" s="46">
        <v>1056.0489804777922</v>
      </c>
      <c r="G10" s="46">
        <v>1075.182067113652</v>
      </c>
      <c r="H10" s="46">
        <v>939.25872658637627</v>
      </c>
      <c r="I10" s="46">
        <v>835.86297921816072</v>
      </c>
      <c r="J10" s="46">
        <v>1121.6217803064005</v>
      </c>
      <c r="K10" s="46">
        <v>1159.2078988353264</v>
      </c>
      <c r="L10" s="46">
        <v>1070.4994936785338</v>
      </c>
      <c r="M10" s="46">
        <v>1319.9251709105076</v>
      </c>
      <c r="N10" s="46">
        <v>1061.0225130322319</v>
      </c>
      <c r="O10" s="47">
        <f t="shared" ref="O10:O20" si="0">SUM(C10:N10)</f>
        <v>13343.518543675507</v>
      </c>
      <c r="Q10" s="33" t="s">
        <v>116</v>
      </c>
      <c r="R10" s="33">
        <v>1594.0737200000001</v>
      </c>
      <c r="S10" s="33">
        <v>1365.491845</v>
      </c>
      <c r="T10" s="33">
        <v>1252.3881919999999</v>
      </c>
      <c r="U10" s="33">
        <v>1417.2242769999998</v>
      </c>
      <c r="V10" s="33">
        <v>1573.947013</v>
      </c>
      <c r="W10" s="33">
        <v>1448.2228650000002</v>
      </c>
      <c r="X10" s="33">
        <v>1420.894119</v>
      </c>
      <c r="Y10" s="33">
        <v>1778.002962</v>
      </c>
      <c r="Z10" s="33">
        <v>1718.1596600000003</v>
      </c>
      <c r="AA10" s="33">
        <v>1709.1091599999995</v>
      </c>
      <c r="AB10" s="33">
        <v>1647.4827929999999</v>
      </c>
      <c r="AC10" s="33">
        <v>1410.4449099999997</v>
      </c>
      <c r="AD10" s="34">
        <f t="shared" ref="AD10:AD20" si="1">SUM(R10:AC10)</f>
        <v>18335.441515999999</v>
      </c>
    </row>
    <row r="11" spans="2:30" x14ac:dyDescent="0.35">
      <c r="B11" s="35" t="s">
        <v>117</v>
      </c>
      <c r="C11" s="46">
        <v>0</v>
      </c>
      <c r="D11" s="46">
        <v>40.142535029999998</v>
      </c>
      <c r="E11" s="46">
        <v>207.73693011711163</v>
      </c>
      <c r="F11" s="46">
        <v>78.015069560800001</v>
      </c>
      <c r="G11" s="46">
        <v>1.72E-2</v>
      </c>
      <c r="H11" s="46">
        <v>172.9598327520344</v>
      </c>
      <c r="I11" s="46">
        <v>295.82037192288004</v>
      </c>
      <c r="J11" s="46">
        <v>196.86820969270752</v>
      </c>
      <c r="K11" s="46">
        <v>102.65101360553064</v>
      </c>
      <c r="L11" s="46">
        <v>3.3099999999999997E-2</v>
      </c>
      <c r="M11" s="46">
        <v>0</v>
      </c>
      <c r="N11" s="46">
        <v>0</v>
      </c>
      <c r="O11" s="47">
        <f t="shared" si="0"/>
        <v>1094.2442626810644</v>
      </c>
      <c r="Q11" s="35" t="s">
        <v>117</v>
      </c>
      <c r="R11" s="33">
        <v>0</v>
      </c>
      <c r="S11" s="33">
        <v>29.787617999999998</v>
      </c>
      <c r="T11" s="33">
        <v>127.519614</v>
      </c>
      <c r="U11" s="33">
        <v>62.846022000000005</v>
      </c>
      <c r="V11" s="33">
        <v>2.14E-3</v>
      </c>
      <c r="W11" s="33">
        <v>189.71484764108351</v>
      </c>
      <c r="X11" s="33">
        <v>327.4830283589165</v>
      </c>
      <c r="Y11" s="33">
        <v>211.35630600000002</v>
      </c>
      <c r="Z11" s="33">
        <v>119.98531999999999</v>
      </c>
      <c r="AA11" s="33">
        <v>5.8120000000000003E-3</v>
      </c>
      <c r="AB11" s="33">
        <v>0</v>
      </c>
      <c r="AC11" s="33">
        <v>0</v>
      </c>
      <c r="AD11" s="34">
        <f t="shared" si="1"/>
        <v>1068.7007080000001</v>
      </c>
    </row>
    <row r="12" spans="2:30" x14ac:dyDescent="0.35">
      <c r="B12" s="33" t="s">
        <v>118</v>
      </c>
      <c r="C12" s="46">
        <v>31.82344363</v>
      </c>
      <c r="D12" s="46">
        <v>33.6556</v>
      </c>
      <c r="E12" s="46">
        <v>1.7763</v>
      </c>
      <c r="F12" s="46">
        <v>116.8872930973685</v>
      </c>
      <c r="G12" s="46">
        <v>59.668840139082</v>
      </c>
      <c r="H12" s="46">
        <v>43.993039850000002</v>
      </c>
      <c r="I12" s="46">
        <v>77.283900991115203</v>
      </c>
      <c r="J12" s="46">
        <v>21.190942345560401</v>
      </c>
      <c r="K12" s="46">
        <v>46.977843890000003</v>
      </c>
      <c r="L12" s="46">
        <v>22.605764960000002</v>
      </c>
      <c r="M12" s="46">
        <v>83.300815839999999</v>
      </c>
      <c r="N12" s="46">
        <v>53.971565400000003</v>
      </c>
      <c r="O12" s="47">
        <f t="shared" si="0"/>
        <v>593.13535014312617</v>
      </c>
      <c r="Q12" s="33" t="s">
        <v>118</v>
      </c>
      <c r="R12" s="33">
        <v>35.357442999999996</v>
      </c>
      <c r="S12" s="33">
        <v>30.45983</v>
      </c>
      <c r="T12" s="33">
        <v>2.4879899999999999</v>
      </c>
      <c r="U12" s="33">
        <v>144.88401200000001</v>
      </c>
      <c r="V12" s="33">
        <v>89.845921000000004</v>
      </c>
      <c r="W12" s="33">
        <v>76.372092000000009</v>
      </c>
      <c r="X12" s="33">
        <v>134.80330999999998</v>
      </c>
      <c r="Y12" s="33">
        <v>27.564233000000002</v>
      </c>
      <c r="Z12" s="33">
        <v>88.425336000000001</v>
      </c>
      <c r="AA12" s="33">
        <v>40.508217999999999</v>
      </c>
      <c r="AB12" s="33">
        <v>127.55459500000001</v>
      </c>
      <c r="AC12" s="33">
        <v>98.262592000000012</v>
      </c>
      <c r="AD12" s="34">
        <f t="shared" si="1"/>
        <v>896.52557200000001</v>
      </c>
    </row>
    <row r="13" spans="2:30" x14ac:dyDescent="0.35">
      <c r="B13" s="33" t="s">
        <v>119</v>
      </c>
      <c r="C13" s="46">
        <v>0</v>
      </c>
      <c r="D13" s="46">
        <v>2.0000000000000001E-4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7">
        <f t="shared" si="0"/>
        <v>2.0000000000000001E-4</v>
      </c>
      <c r="Q13" s="33" t="s">
        <v>119</v>
      </c>
      <c r="R13" s="33">
        <v>0</v>
      </c>
      <c r="S13" s="33">
        <v>3.0000000000000001E-6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4">
        <f t="shared" si="1"/>
        <v>3.0000000000000001E-6</v>
      </c>
    </row>
    <row r="14" spans="2:30" x14ac:dyDescent="0.35">
      <c r="B14" s="35" t="s">
        <v>120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7">
        <f t="shared" si="0"/>
        <v>0</v>
      </c>
      <c r="Q14" s="35" t="s">
        <v>120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4">
        <f t="shared" si="1"/>
        <v>0</v>
      </c>
    </row>
    <row r="15" spans="2:30" x14ac:dyDescent="0.35">
      <c r="B15" s="33" t="s">
        <v>121</v>
      </c>
      <c r="C15" s="46">
        <v>2.9405999999999999</v>
      </c>
      <c r="D15" s="46">
        <v>13.2927</v>
      </c>
      <c r="E15" s="46">
        <v>196.1563451556068</v>
      </c>
      <c r="F15" s="46">
        <v>180.51675368799999</v>
      </c>
      <c r="G15" s="46">
        <v>10.8149</v>
      </c>
      <c r="H15" s="46">
        <v>1.8108</v>
      </c>
      <c r="I15" s="46">
        <v>11.169099999999998</v>
      </c>
      <c r="J15" s="46">
        <v>8.1333000000000002</v>
      </c>
      <c r="K15" s="46">
        <v>14.315200000000003</v>
      </c>
      <c r="L15" s="46">
        <v>5.5553999999999997</v>
      </c>
      <c r="M15" s="46">
        <v>5.2789999999999999</v>
      </c>
      <c r="N15" s="46">
        <v>3.6172</v>
      </c>
      <c r="O15" s="47">
        <f t="shared" si="0"/>
        <v>453.60129884360686</v>
      </c>
      <c r="Q15" s="33" t="s">
        <v>121</v>
      </c>
      <c r="R15" s="33">
        <v>2.5573809999999999</v>
      </c>
      <c r="S15" s="33">
        <v>8.5039700000000007</v>
      </c>
      <c r="T15" s="33">
        <v>114.662301</v>
      </c>
      <c r="U15" s="33">
        <v>138.78486800000002</v>
      </c>
      <c r="V15" s="33">
        <v>7.8559769999999993</v>
      </c>
      <c r="W15" s="33">
        <v>1.6733549999999999</v>
      </c>
      <c r="X15" s="33">
        <v>10.298525</v>
      </c>
      <c r="Y15" s="33">
        <v>6.624117</v>
      </c>
      <c r="Z15" s="33">
        <v>13.145197</v>
      </c>
      <c r="AA15" s="33">
        <v>4.6451740000000008</v>
      </c>
      <c r="AB15" s="33">
        <v>9.7901699999999998</v>
      </c>
      <c r="AC15" s="33">
        <v>3.8569719999999998</v>
      </c>
      <c r="AD15" s="34">
        <f t="shared" si="1"/>
        <v>322.39800700000001</v>
      </c>
    </row>
    <row r="16" spans="2:30" x14ac:dyDescent="0.35">
      <c r="B16" s="33" t="s">
        <v>122</v>
      </c>
      <c r="C16" s="46">
        <v>208.87058701000004</v>
      </c>
      <c r="D16" s="46">
        <v>217.45016384500002</v>
      </c>
      <c r="E16" s="46">
        <v>202.36751107499998</v>
      </c>
      <c r="F16" s="46">
        <v>262.15154025499999</v>
      </c>
      <c r="G16" s="46">
        <v>203.23358217000003</v>
      </c>
      <c r="H16" s="46">
        <v>159.83629999999999</v>
      </c>
      <c r="I16" s="46">
        <v>229.28929414500001</v>
      </c>
      <c r="J16" s="46">
        <v>173.54140082499998</v>
      </c>
      <c r="K16" s="46">
        <v>146.22171862000002</v>
      </c>
      <c r="L16" s="46">
        <v>144.46002741229634</v>
      </c>
      <c r="M16" s="46">
        <v>183.39791049499999</v>
      </c>
      <c r="N16" s="46">
        <v>170.24617038999997</v>
      </c>
      <c r="O16" s="47">
        <f t="shared" si="0"/>
        <v>2301.0662062422962</v>
      </c>
      <c r="Q16" s="33" t="s">
        <v>122</v>
      </c>
      <c r="R16" s="33">
        <v>229.81255600000003</v>
      </c>
      <c r="S16" s="33">
        <v>213.50183699999997</v>
      </c>
      <c r="T16" s="33">
        <v>180.552784</v>
      </c>
      <c r="U16" s="33">
        <v>221.73892200000003</v>
      </c>
      <c r="V16" s="33">
        <v>165.01618099999996</v>
      </c>
      <c r="W16" s="33">
        <v>133.129931</v>
      </c>
      <c r="X16" s="33">
        <v>212.25088399999999</v>
      </c>
      <c r="Y16" s="33">
        <v>159.26768700000002</v>
      </c>
      <c r="Z16" s="33">
        <v>139.06278600000002</v>
      </c>
      <c r="AA16" s="33">
        <v>139.03016399999998</v>
      </c>
      <c r="AB16" s="33">
        <v>184.278054</v>
      </c>
      <c r="AC16" s="33">
        <v>174.61329300000003</v>
      </c>
      <c r="AD16" s="34">
        <f t="shared" si="1"/>
        <v>2152.255079</v>
      </c>
    </row>
    <row r="17" spans="2:30" x14ac:dyDescent="0.35">
      <c r="B17" s="33" t="s">
        <v>123</v>
      </c>
      <c r="C17" s="46">
        <v>658.86368021878889</v>
      </c>
      <c r="D17" s="46">
        <v>326.13172931402204</v>
      </c>
      <c r="E17" s="46">
        <v>395.88942801092099</v>
      </c>
      <c r="F17" s="46">
        <v>451.62583397715377</v>
      </c>
      <c r="G17" s="46">
        <v>370.37448544492599</v>
      </c>
      <c r="H17" s="46">
        <v>272.22886846</v>
      </c>
      <c r="I17" s="46">
        <v>300.61247600999997</v>
      </c>
      <c r="J17" s="46">
        <v>248.83770963000001</v>
      </c>
      <c r="K17" s="46">
        <v>358.99734798623615</v>
      </c>
      <c r="L17" s="46">
        <v>337.54556649312462</v>
      </c>
      <c r="M17" s="46">
        <v>229.42612396203012</v>
      </c>
      <c r="N17" s="46">
        <v>251.780196075183</v>
      </c>
      <c r="O17" s="47">
        <f t="shared" si="0"/>
        <v>4202.3134455823856</v>
      </c>
      <c r="Q17" s="33" t="s">
        <v>123</v>
      </c>
      <c r="R17" s="33">
        <v>995.86337600000002</v>
      </c>
      <c r="S17" s="33">
        <v>481.89615199999997</v>
      </c>
      <c r="T17" s="33">
        <v>600.689213</v>
      </c>
      <c r="U17" s="33">
        <v>749.26784199999997</v>
      </c>
      <c r="V17" s="33">
        <v>702.33319099999994</v>
      </c>
      <c r="W17" s="33">
        <v>567.21850199999994</v>
      </c>
      <c r="X17" s="33">
        <v>654.75544400000001</v>
      </c>
      <c r="Y17" s="33">
        <v>568.74398699999995</v>
      </c>
      <c r="Z17" s="33">
        <v>963.11989200000005</v>
      </c>
      <c r="AA17" s="33">
        <v>893.43974700000001</v>
      </c>
      <c r="AB17" s="33">
        <v>640.15217500000006</v>
      </c>
      <c r="AC17" s="33">
        <v>745.11482100000001</v>
      </c>
      <c r="AD17" s="34">
        <f t="shared" si="1"/>
        <v>8562.5943420000003</v>
      </c>
    </row>
    <row r="18" spans="2:30" x14ac:dyDescent="0.35">
      <c r="B18" s="33" t="s">
        <v>124</v>
      </c>
      <c r="C18" s="46">
        <v>137.53270000000001</v>
      </c>
      <c r="D18" s="46">
        <v>132.02300000000002</v>
      </c>
      <c r="E18" s="46">
        <v>103.0231</v>
      </c>
      <c r="F18" s="46">
        <v>56.756</v>
      </c>
      <c r="G18" s="46">
        <v>29.776342463999995</v>
      </c>
      <c r="H18" s="46">
        <v>49.097000000000001</v>
      </c>
      <c r="I18" s="46">
        <v>93.961799999999997</v>
      </c>
      <c r="J18" s="46">
        <v>135.108394656</v>
      </c>
      <c r="K18" s="46">
        <v>123.92479999999999</v>
      </c>
      <c r="L18" s="46">
        <v>111.67800000000001</v>
      </c>
      <c r="M18" s="46">
        <v>119.4307</v>
      </c>
      <c r="N18" s="46">
        <v>144.22020000000001</v>
      </c>
      <c r="O18" s="47">
        <f t="shared" si="0"/>
        <v>1236.5320371199998</v>
      </c>
      <c r="Q18" s="33" t="s">
        <v>124</v>
      </c>
      <c r="R18" s="33">
        <v>258.42737999999997</v>
      </c>
      <c r="S18" s="33">
        <v>254.485231</v>
      </c>
      <c r="T18" s="33">
        <v>210.360354</v>
      </c>
      <c r="U18" s="33">
        <v>119.68058499999999</v>
      </c>
      <c r="V18" s="33">
        <v>68.287706</v>
      </c>
      <c r="W18" s="33">
        <v>116.37751</v>
      </c>
      <c r="X18" s="33">
        <v>225.98996599999998</v>
      </c>
      <c r="Y18" s="33">
        <v>348.95739899999995</v>
      </c>
      <c r="Z18" s="33">
        <v>282.50185799999997</v>
      </c>
      <c r="AA18" s="33">
        <v>268.835149</v>
      </c>
      <c r="AB18" s="33">
        <v>295.97136800000004</v>
      </c>
      <c r="AC18" s="33">
        <v>347.57519300000001</v>
      </c>
      <c r="AD18" s="34">
        <f t="shared" si="1"/>
        <v>2797.4496989999998</v>
      </c>
    </row>
    <row r="19" spans="2:30" x14ac:dyDescent="0.35">
      <c r="B19" s="33" t="s">
        <v>125</v>
      </c>
      <c r="C19" s="46">
        <v>223.821</v>
      </c>
      <c r="D19" s="46">
        <v>216.72549999999998</v>
      </c>
      <c r="E19" s="46">
        <v>187.20430000000002</v>
      </c>
      <c r="F19" s="46">
        <v>224.5052</v>
      </c>
      <c r="G19" s="46">
        <v>169.82160000000002</v>
      </c>
      <c r="H19" s="46">
        <v>127.24260000000001</v>
      </c>
      <c r="I19" s="46">
        <v>192.82490000000001</v>
      </c>
      <c r="J19" s="46">
        <v>209.01249999999999</v>
      </c>
      <c r="K19" s="46">
        <v>117.82389999999998</v>
      </c>
      <c r="L19" s="46">
        <v>165.57229999999998</v>
      </c>
      <c r="M19" s="46">
        <v>163.58879999999999</v>
      </c>
      <c r="N19" s="46">
        <v>264.86829999999998</v>
      </c>
      <c r="O19" s="47">
        <f t="shared" si="0"/>
        <v>2263.0109000000002</v>
      </c>
      <c r="Q19" s="33" t="s">
        <v>125</v>
      </c>
      <c r="R19" s="33">
        <v>891.89396699999998</v>
      </c>
      <c r="S19" s="33">
        <v>708.667283</v>
      </c>
      <c r="T19" s="33">
        <v>544.26377100000002</v>
      </c>
      <c r="U19" s="33">
        <v>793.22803700000009</v>
      </c>
      <c r="V19" s="33">
        <v>465.98446999999999</v>
      </c>
      <c r="W19" s="33">
        <v>539.088078</v>
      </c>
      <c r="X19" s="33">
        <v>855.04523300000005</v>
      </c>
      <c r="Y19" s="33">
        <v>846.85456899999997</v>
      </c>
      <c r="Z19" s="33">
        <v>595.31154700000002</v>
      </c>
      <c r="AA19" s="33">
        <v>515.66192599999999</v>
      </c>
      <c r="AB19" s="33">
        <v>724.76930800000002</v>
      </c>
      <c r="AC19" s="33">
        <v>1182.9110579999999</v>
      </c>
      <c r="AD19" s="34">
        <f t="shared" si="1"/>
        <v>8663.679247</v>
      </c>
    </row>
    <row r="20" spans="2:30" x14ac:dyDescent="0.35">
      <c r="B20" s="33" t="s">
        <v>126</v>
      </c>
      <c r="C20" s="46">
        <v>143.62680641</v>
      </c>
      <c r="D20" s="46">
        <v>170.50508466999997</v>
      </c>
      <c r="E20" s="46">
        <v>98.026896409999992</v>
      </c>
      <c r="F20" s="46">
        <v>77.760041161610005</v>
      </c>
      <c r="G20" s="46">
        <v>141.00374786904001</v>
      </c>
      <c r="H20" s="46">
        <v>80.5453726378</v>
      </c>
      <c r="I20" s="46">
        <v>73.416602031539995</v>
      </c>
      <c r="J20" s="46">
        <v>82.284282640000001</v>
      </c>
      <c r="K20" s="46">
        <v>103.6991034016</v>
      </c>
      <c r="L20" s="46">
        <v>143.98074318592001</v>
      </c>
      <c r="M20" s="46">
        <v>71.389850538880012</v>
      </c>
      <c r="N20" s="46">
        <v>238.83621711900003</v>
      </c>
      <c r="O20" s="47">
        <f t="shared" si="0"/>
        <v>1425.0747480753898</v>
      </c>
      <c r="Q20" s="33" t="s">
        <v>126</v>
      </c>
      <c r="R20" s="33">
        <v>157.34983600000001</v>
      </c>
      <c r="S20" s="33">
        <v>197.78959799999996</v>
      </c>
      <c r="T20" s="33">
        <v>95.13746900000001</v>
      </c>
      <c r="U20" s="33">
        <v>84.380406999999991</v>
      </c>
      <c r="V20" s="33">
        <v>164.759163</v>
      </c>
      <c r="W20" s="33">
        <v>89.156472999999991</v>
      </c>
      <c r="X20" s="33">
        <v>96.271785999999992</v>
      </c>
      <c r="Y20" s="33">
        <v>94.414183000000008</v>
      </c>
      <c r="Z20" s="33">
        <v>130.530361</v>
      </c>
      <c r="AA20" s="33">
        <v>211.149541</v>
      </c>
      <c r="AB20" s="33">
        <v>88.786081999999993</v>
      </c>
      <c r="AC20" s="33">
        <v>389.10429399999998</v>
      </c>
      <c r="AD20" s="34">
        <f t="shared" si="1"/>
        <v>1798.829193</v>
      </c>
    </row>
    <row r="21" spans="2:30" ht="15.5" x14ac:dyDescent="0.35">
      <c r="B21" s="36" t="s">
        <v>136</v>
      </c>
      <c r="C21" s="48">
        <f t="shared" ref="C21:O21" si="2">SUM(C10:C20)</f>
        <v>2943.4881778421386</v>
      </c>
      <c r="D21" s="48">
        <f t="shared" si="2"/>
        <v>2347.6391581899502</v>
      </c>
      <c r="E21" s="48">
        <f t="shared" si="2"/>
        <v>2363.3477383808881</v>
      </c>
      <c r="F21" s="48">
        <f t="shared" si="2"/>
        <v>2504.266712217724</v>
      </c>
      <c r="G21" s="48">
        <f t="shared" si="2"/>
        <v>2059.8927652007001</v>
      </c>
      <c r="H21" s="48">
        <f t="shared" si="2"/>
        <v>1846.9725402862107</v>
      </c>
      <c r="I21" s="48">
        <f t="shared" si="2"/>
        <v>2110.2414243186959</v>
      </c>
      <c r="J21" s="48">
        <f t="shared" si="2"/>
        <v>2196.5985200956684</v>
      </c>
      <c r="K21" s="48">
        <f t="shared" si="2"/>
        <v>2173.8188263386933</v>
      </c>
      <c r="L21" s="48">
        <f t="shared" si="2"/>
        <v>2001.9303957298748</v>
      </c>
      <c r="M21" s="48">
        <f t="shared" si="2"/>
        <v>2175.7383717464177</v>
      </c>
      <c r="N21" s="48">
        <f t="shared" si="2"/>
        <v>2188.5623620164147</v>
      </c>
      <c r="O21" s="48">
        <f t="shared" si="2"/>
        <v>26912.496992363376</v>
      </c>
      <c r="Q21" s="36" t="s">
        <v>136</v>
      </c>
      <c r="R21" s="37">
        <f t="shared" ref="R21:AD21" si="3">SUM(R10:R20)</f>
        <v>4165.3356590000003</v>
      </c>
      <c r="S21" s="37">
        <f t="shared" si="3"/>
        <v>3290.5833669999997</v>
      </c>
      <c r="T21" s="37">
        <f t="shared" si="3"/>
        <v>3128.0616879999998</v>
      </c>
      <c r="U21" s="37">
        <f t="shared" si="3"/>
        <v>3732.0349719999999</v>
      </c>
      <c r="V21" s="37">
        <f t="shared" si="3"/>
        <v>3238.0317620000001</v>
      </c>
      <c r="W21" s="37">
        <f t="shared" si="3"/>
        <v>3160.9536536410833</v>
      </c>
      <c r="X21" s="37">
        <f t="shared" si="3"/>
        <v>3937.7922953589164</v>
      </c>
      <c r="Y21" s="37">
        <f t="shared" si="3"/>
        <v>4041.7854429999998</v>
      </c>
      <c r="Z21" s="37">
        <f t="shared" si="3"/>
        <v>4050.2419570000011</v>
      </c>
      <c r="AA21" s="37">
        <f t="shared" si="3"/>
        <v>3782.3848909999997</v>
      </c>
      <c r="AB21" s="37">
        <f t="shared" si="3"/>
        <v>3718.784545</v>
      </c>
      <c r="AC21" s="37">
        <f t="shared" si="3"/>
        <v>4351.8831329999994</v>
      </c>
      <c r="AD21" s="37">
        <f t="shared" si="3"/>
        <v>44597.873365999993</v>
      </c>
    </row>
    <row r="22" spans="2:30" ht="15.5" x14ac:dyDescent="0.35">
      <c r="B22" s="38" t="s">
        <v>137</v>
      </c>
      <c r="C22" s="48">
        <f t="shared" ref="C22:H22" si="4">+C21+C8</f>
        <v>19758.127029432857</v>
      </c>
      <c r="D22" s="48">
        <f t="shared" si="4"/>
        <v>17816.417587622222</v>
      </c>
      <c r="E22" s="48">
        <f t="shared" si="4"/>
        <v>17960.313439874371</v>
      </c>
      <c r="F22" s="48">
        <f t="shared" si="4"/>
        <v>18768.909582620901</v>
      </c>
      <c r="G22" s="48">
        <f t="shared" si="4"/>
        <v>15167.25662961114</v>
      </c>
      <c r="H22" s="48">
        <f t="shared" si="4"/>
        <v>13674.279402877111</v>
      </c>
      <c r="I22" s="48">
        <f t="shared" ref="I22:O22" si="5">+I8+I21</f>
        <v>14196.796412041896</v>
      </c>
      <c r="J22" s="48">
        <f t="shared" si="5"/>
        <v>14449.485144540689</v>
      </c>
      <c r="K22" s="48">
        <f t="shared" si="5"/>
        <v>13618.848633185789</v>
      </c>
      <c r="L22" s="48">
        <f t="shared" si="5"/>
        <v>13352.643234794099</v>
      </c>
      <c r="M22" s="48">
        <f t="shared" si="5"/>
        <v>12596.915141078116</v>
      </c>
      <c r="N22" s="48">
        <f t="shared" si="5"/>
        <v>13083.528865480193</v>
      </c>
      <c r="O22" s="48">
        <f t="shared" si="5"/>
        <v>184443.52110315941</v>
      </c>
      <c r="Q22" s="38" t="s">
        <v>137</v>
      </c>
      <c r="R22" s="37">
        <f t="shared" ref="R22:W22" si="6">+R21+R8</f>
        <v>25791.505355185003</v>
      </c>
      <c r="S22" s="37">
        <f t="shared" si="6"/>
        <v>22934.836988534997</v>
      </c>
      <c r="T22" s="37">
        <f t="shared" si="6"/>
        <v>22337.713693542006</v>
      </c>
      <c r="U22" s="37">
        <f t="shared" si="6"/>
        <v>24356.288931481999</v>
      </c>
      <c r="V22" s="37">
        <f t="shared" si="6"/>
        <v>20875.244077264997</v>
      </c>
      <c r="W22" s="37">
        <f t="shared" si="6"/>
        <v>19933.163626406087</v>
      </c>
      <c r="X22" s="37">
        <f t="shared" ref="X22:AD22" si="7">+X8+X21</f>
        <v>22061.238970903913</v>
      </c>
      <c r="Y22" s="37">
        <f t="shared" si="7"/>
        <v>23045.066297934001</v>
      </c>
      <c r="Z22" s="37">
        <f t="shared" si="7"/>
        <v>23667.951540499002</v>
      </c>
      <c r="AA22" s="37">
        <f t="shared" si="7"/>
        <v>24011.694629625003</v>
      </c>
      <c r="AB22" s="37">
        <f t="shared" si="7"/>
        <v>23003.658017954996</v>
      </c>
      <c r="AC22" s="37">
        <f t="shared" si="7"/>
        <v>25279.923215494</v>
      </c>
      <c r="AD22" s="37">
        <f t="shared" si="7"/>
        <v>277298.28534482606</v>
      </c>
    </row>
    <row r="23" spans="2:30" ht="15.5" x14ac:dyDescent="0.35">
      <c r="B23" s="39" t="s">
        <v>138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  <c r="Q23" s="39" t="s">
        <v>138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4"/>
    </row>
    <row r="24" spans="2:30" x14ac:dyDescent="0.35">
      <c r="B24" s="40" t="s">
        <v>116</v>
      </c>
      <c r="C24" s="46">
        <v>52.055593114754103</v>
      </c>
      <c r="D24" s="46">
        <v>54.447061754385963</v>
      </c>
      <c r="E24" s="46">
        <v>52.952728672135343</v>
      </c>
      <c r="F24" s="46">
        <v>39.295378263058538</v>
      </c>
      <c r="G24" s="46">
        <v>36.115367708725671</v>
      </c>
      <c r="H24" s="46">
        <v>33.781484081530571</v>
      </c>
      <c r="I24" s="46">
        <v>33.911313150517977</v>
      </c>
      <c r="J24" s="46">
        <v>30.928011599659904</v>
      </c>
      <c r="K24" s="46">
        <v>33.946558001226244</v>
      </c>
      <c r="L24" s="46">
        <v>37.970320746089044</v>
      </c>
      <c r="M24" s="46">
        <v>32.567326267785475</v>
      </c>
      <c r="N24" s="46">
        <v>48.122323851440967</v>
      </c>
      <c r="O24" s="47">
        <f t="shared" ref="O24:O35" si="8">SUM(C24:N24)</f>
        <v>486.09346721130976</v>
      </c>
      <c r="Q24" s="40" t="s">
        <v>116</v>
      </c>
      <c r="R24" s="33">
        <v>47.343001999999956</v>
      </c>
      <c r="S24" s="33">
        <v>47.689821799999955</v>
      </c>
      <c r="T24" s="33">
        <v>50.078432799999966</v>
      </c>
      <c r="U24" s="33">
        <v>41.723235199999955</v>
      </c>
      <c r="V24" s="33">
        <v>39.624877199999986</v>
      </c>
      <c r="W24" s="33">
        <v>40.277528400000008</v>
      </c>
      <c r="X24" s="33">
        <v>43.275417999999988</v>
      </c>
      <c r="Y24" s="33">
        <v>41.989242400000016</v>
      </c>
      <c r="Z24" s="33">
        <v>44.771703599999903</v>
      </c>
      <c r="AA24" s="33">
        <v>47.958106799999982</v>
      </c>
      <c r="AB24" s="33">
        <v>42.984092799999956</v>
      </c>
      <c r="AC24" s="33">
        <v>51.809268399999972</v>
      </c>
      <c r="AD24" s="34">
        <f t="shared" ref="AD24:AD35" si="9">SUM(R24:AC24)</f>
        <v>539.52472939999961</v>
      </c>
    </row>
    <row r="25" spans="2:30" x14ac:dyDescent="0.35">
      <c r="B25" s="41" t="s">
        <v>127</v>
      </c>
      <c r="C25" s="46">
        <v>1579.2896446849109</v>
      </c>
      <c r="D25" s="46">
        <v>1491.2625507647701</v>
      </c>
      <c r="E25" s="46">
        <v>1580.2336900077848</v>
      </c>
      <c r="F25" s="46">
        <v>1141.1962904243296</v>
      </c>
      <c r="G25" s="46">
        <v>916.81670674520387</v>
      </c>
      <c r="H25" s="46">
        <v>577.46077148053723</v>
      </c>
      <c r="I25" s="46">
        <v>403.20844370687513</v>
      </c>
      <c r="J25" s="46">
        <v>692.061358503257</v>
      </c>
      <c r="K25" s="46">
        <v>995.62084732551853</v>
      </c>
      <c r="L25" s="46">
        <v>1035.6229966770645</v>
      </c>
      <c r="M25" s="46">
        <v>1176.3990720174106</v>
      </c>
      <c r="N25" s="46">
        <v>1279.3125271444412</v>
      </c>
      <c r="O25" s="47">
        <f t="shared" si="8"/>
        <v>12868.484899482104</v>
      </c>
      <c r="Q25" s="41" t="s">
        <v>127</v>
      </c>
      <c r="R25" s="33">
        <v>1403.2288101344657</v>
      </c>
      <c r="S25" s="33">
        <v>1157.8322800389128</v>
      </c>
      <c r="T25" s="33">
        <v>1162.6697173021212</v>
      </c>
      <c r="U25" s="33">
        <v>1073.7380192466881</v>
      </c>
      <c r="V25" s="33">
        <v>1019.3518243863886</v>
      </c>
      <c r="W25" s="33">
        <v>671.68742782036247</v>
      </c>
      <c r="X25" s="33">
        <v>500.7645831402703</v>
      </c>
      <c r="Y25" s="33">
        <v>842.55573428730202</v>
      </c>
      <c r="Z25" s="33">
        <v>1242.1059160575185</v>
      </c>
      <c r="AA25" s="33">
        <v>1165.2991867184883</v>
      </c>
      <c r="AB25" s="33">
        <v>1379.4972964513051</v>
      </c>
      <c r="AC25" s="33">
        <v>1508.1221573919572</v>
      </c>
      <c r="AD25" s="34">
        <f t="shared" si="9"/>
        <v>13126.85295297578</v>
      </c>
    </row>
    <row r="26" spans="2:30" x14ac:dyDescent="0.35">
      <c r="B26" s="40" t="s">
        <v>128</v>
      </c>
      <c r="C26" s="46">
        <v>553.07562356932795</v>
      </c>
      <c r="D26" s="46">
        <v>471.39059923120004</v>
      </c>
      <c r="E26" s="46">
        <v>660.98999104220695</v>
      </c>
      <c r="F26" s="46">
        <v>272.99281487999997</v>
      </c>
      <c r="G26" s="46">
        <v>285.59278592316997</v>
      </c>
      <c r="H26" s="46">
        <v>290.799185714347</v>
      </c>
      <c r="I26" s="46">
        <v>244.06957488211197</v>
      </c>
      <c r="J26" s="46">
        <v>285.15996677099997</v>
      </c>
      <c r="K26" s="46">
        <v>273.36171494688602</v>
      </c>
      <c r="L26" s="46">
        <v>220.436331401774</v>
      </c>
      <c r="M26" s="46">
        <v>284.20459048855304</v>
      </c>
      <c r="N26" s="46">
        <v>342.06699595710199</v>
      </c>
      <c r="O26" s="47">
        <f t="shared" si="8"/>
        <v>4184.1401748076787</v>
      </c>
      <c r="Q26" s="40" t="s">
        <v>128</v>
      </c>
      <c r="R26" s="33">
        <v>610.66256999999996</v>
      </c>
      <c r="S26" s="33">
        <v>556.0566080000001</v>
      </c>
      <c r="T26" s="33">
        <v>815.0855160000001</v>
      </c>
      <c r="U26" s="33">
        <v>354.59431600000005</v>
      </c>
      <c r="V26" s="33">
        <v>413.78567399999997</v>
      </c>
      <c r="W26" s="33">
        <v>467.85066500000005</v>
      </c>
      <c r="X26" s="33">
        <v>371.58164199999999</v>
      </c>
      <c r="Y26" s="33">
        <v>423.18609100000003</v>
      </c>
      <c r="Z26" s="33">
        <v>440.81441400000006</v>
      </c>
      <c r="AA26" s="33">
        <v>333.13713200000001</v>
      </c>
      <c r="AB26" s="33">
        <v>416.013825</v>
      </c>
      <c r="AC26" s="33">
        <v>511.33551599999998</v>
      </c>
      <c r="AD26" s="34">
        <f t="shared" si="9"/>
        <v>5714.1039689999998</v>
      </c>
    </row>
    <row r="27" spans="2:30" x14ac:dyDescent="0.35">
      <c r="B27" s="40" t="s">
        <v>129</v>
      </c>
      <c r="C27" s="46">
        <v>379.05712744278685</v>
      </c>
      <c r="D27" s="46">
        <v>526.14926104260815</v>
      </c>
      <c r="E27" s="46">
        <v>774.3469539329941</v>
      </c>
      <c r="F27" s="46">
        <v>639.7778236180302</v>
      </c>
      <c r="G27" s="46">
        <v>799.7846355104457</v>
      </c>
      <c r="H27" s="46">
        <v>660.54044403764283</v>
      </c>
      <c r="I27" s="46">
        <v>649.99169776458871</v>
      </c>
      <c r="J27" s="46">
        <v>595.76366704520956</v>
      </c>
      <c r="K27" s="46">
        <v>552.59597244701399</v>
      </c>
      <c r="L27" s="46">
        <v>541.6691991859326</v>
      </c>
      <c r="M27" s="46">
        <v>556.73329579911717</v>
      </c>
      <c r="N27" s="46">
        <v>608.43902856669717</v>
      </c>
      <c r="O27" s="47">
        <f t="shared" si="8"/>
        <v>7284.8491063930669</v>
      </c>
      <c r="Q27" s="40" t="s">
        <v>129</v>
      </c>
      <c r="R27" s="33">
        <v>349.9313180248447</v>
      </c>
      <c r="S27" s="33">
        <v>447.69568263354034</v>
      </c>
      <c r="T27" s="33">
        <v>590.80385809937889</v>
      </c>
      <c r="U27" s="33">
        <v>582.87300106211183</v>
      </c>
      <c r="V27" s="33">
        <v>744.92790499378884</v>
      </c>
      <c r="W27" s="33">
        <v>689.20182288819876</v>
      </c>
      <c r="X27" s="33">
        <v>639.48128995652166</v>
      </c>
      <c r="Y27" s="33">
        <v>591.09544039130435</v>
      </c>
      <c r="Z27" s="33">
        <v>623.58141256521742</v>
      </c>
      <c r="AA27" s="33">
        <v>567.86503103105599</v>
      </c>
      <c r="AB27" s="33">
        <v>649.61481398757758</v>
      </c>
      <c r="AC27" s="33">
        <v>786.49385488819883</v>
      </c>
      <c r="AD27" s="34">
        <f t="shared" si="9"/>
        <v>7263.5654305217404</v>
      </c>
    </row>
    <row r="28" spans="2:30" x14ac:dyDescent="0.35">
      <c r="B28" s="35" t="s">
        <v>120</v>
      </c>
      <c r="C28" s="46">
        <v>2.2821147934426231</v>
      </c>
      <c r="D28" s="46">
        <v>0.82752406757634844</v>
      </c>
      <c r="E28" s="46">
        <v>1.5756291591899514</v>
      </c>
      <c r="F28" s="46">
        <v>1.3667400125865323</v>
      </c>
      <c r="G28" s="46">
        <v>0.57604180790960446</v>
      </c>
      <c r="H28" s="46">
        <v>0.93192869826184821</v>
      </c>
      <c r="I28" s="46">
        <v>0.78254817794028042</v>
      </c>
      <c r="J28" s="46">
        <v>0.97555884853637798</v>
      </c>
      <c r="K28" s="46">
        <v>1.0105029552421827</v>
      </c>
      <c r="L28" s="46">
        <v>0.8785420938628159</v>
      </c>
      <c r="M28" s="46">
        <v>0.54795375167213911</v>
      </c>
      <c r="N28" s="46">
        <v>0.84646146147353174</v>
      </c>
      <c r="O28" s="47">
        <f t="shared" si="8"/>
        <v>12.601545827694236</v>
      </c>
      <c r="Q28" s="35" t="s">
        <v>120</v>
      </c>
      <c r="R28" s="33">
        <v>1.9588193846394737</v>
      </c>
      <c r="S28" s="33">
        <v>0.69208486651530565</v>
      </c>
      <c r="T28" s="33">
        <v>1.2604713066624911</v>
      </c>
      <c r="U28" s="33">
        <v>0.95513974790573852</v>
      </c>
      <c r="V28" s="33">
        <v>0.46504345102951533</v>
      </c>
      <c r="W28" s="33">
        <v>0.79229624990213732</v>
      </c>
      <c r="X28" s="33">
        <v>0.71563720347608228</v>
      </c>
      <c r="Y28" s="33">
        <v>0.86395427855632967</v>
      </c>
      <c r="Z28" s="33">
        <v>0.89295427855632958</v>
      </c>
      <c r="AA28" s="33">
        <v>0.88021749001800664</v>
      </c>
      <c r="AB28" s="33">
        <v>0.5200569169341579</v>
      </c>
      <c r="AC28" s="33">
        <v>0.8365853754012369</v>
      </c>
      <c r="AD28" s="34">
        <f t="shared" si="9"/>
        <v>10.833260549596803</v>
      </c>
    </row>
    <row r="29" spans="2:30" x14ac:dyDescent="0.35">
      <c r="B29" s="33" t="s">
        <v>121</v>
      </c>
      <c r="C29" s="46">
        <v>2971.3172228599569</v>
      </c>
      <c r="D29" s="46">
        <v>3567.1424549520939</v>
      </c>
      <c r="E29" s="46">
        <v>3184.0622528651384</v>
      </c>
      <c r="F29" s="46">
        <v>2403.7057514702501</v>
      </c>
      <c r="G29" s="46">
        <v>2470.6206763676141</v>
      </c>
      <c r="H29" s="46">
        <v>2618.6856140337486</v>
      </c>
      <c r="I29" s="46">
        <v>2174.7111636314871</v>
      </c>
      <c r="J29" s="46">
        <v>1940.4264270543601</v>
      </c>
      <c r="K29" s="46">
        <v>2109.2772701541794</v>
      </c>
      <c r="L29" s="46">
        <v>1755.3700475449377</v>
      </c>
      <c r="M29" s="46">
        <v>1775.1490628266345</v>
      </c>
      <c r="N29" s="46">
        <v>1888.6505495253268</v>
      </c>
      <c r="O29" s="47">
        <f t="shared" si="8"/>
        <v>28859.118493285725</v>
      </c>
      <c r="Q29" s="33" t="s">
        <v>121</v>
      </c>
      <c r="R29" s="33">
        <v>2697.5626916684364</v>
      </c>
      <c r="S29" s="33">
        <v>3062.5217937195648</v>
      </c>
      <c r="T29" s="33">
        <v>2456.2079324160286</v>
      </c>
      <c r="U29" s="33">
        <v>2146.4280580084919</v>
      </c>
      <c r="V29" s="33">
        <v>2365.0892316548893</v>
      </c>
      <c r="W29" s="33">
        <v>2689.1719715231247</v>
      </c>
      <c r="X29" s="33">
        <v>2062.153096242303</v>
      </c>
      <c r="Y29" s="33">
        <v>1978.5937332317872</v>
      </c>
      <c r="Z29" s="33">
        <v>2412.6045931829553</v>
      </c>
      <c r="AA29" s="33">
        <v>1990.6576795183105</v>
      </c>
      <c r="AB29" s="33">
        <v>2150.5669103834257</v>
      </c>
      <c r="AC29" s="33">
        <v>2482.8761718281903</v>
      </c>
      <c r="AD29" s="34">
        <f t="shared" si="9"/>
        <v>28494.433863377508</v>
      </c>
    </row>
    <row r="30" spans="2:30" x14ac:dyDescent="0.35">
      <c r="B30" s="33" t="s">
        <v>130</v>
      </c>
      <c r="C30" s="46">
        <v>0.10360131147540984</v>
      </c>
      <c r="D30" s="46">
        <v>0.13507212475633529</v>
      </c>
      <c r="E30" s="46">
        <v>0.11126890540886952</v>
      </c>
      <c r="F30" s="46">
        <v>0.1489847702957835</v>
      </c>
      <c r="G30" s="46">
        <v>9.3262021343377285E-2</v>
      </c>
      <c r="H30" s="46">
        <v>0.12556258596973865</v>
      </c>
      <c r="I30" s="46">
        <v>0.15416502132845825</v>
      </c>
      <c r="J30" s="46">
        <v>0.14577626624559697</v>
      </c>
      <c r="K30" s="46">
        <v>0.18586830165542614</v>
      </c>
      <c r="L30" s="46">
        <v>0.1005054151624549</v>
      </c>
      <c r="M30" s="46">
        <v>0.13952085613523046</v>
      </c>
      <c r="N30" s="46">
        <v>0.14858555408175572</v>
      </c>
      <c r="O30" s="47">
        <f t="shared" si="8"/>
        <v>1.5921731338584366</v>
      </c>
      <c r="Q30" s="33" t="s">
        <v>130</v>
      </c>
      <c r="R30" s="33">
        <v>8.9766606822262104E-2</v>
      </c>
      <c r="S30" s="33">
        <v>0.10771992818671453</v>
      </c>
      <c r="T30" s="33">
        <v>8.9766606822262104E-2</v>
      </c>
      <c r="U30" s="33">
        <v>0.11849192100538598</v>
      </c>
      <c r="V30" s="33">
        <v>8.2585278276481142E-2</v>
      </c>
      <c r="W30" s="33">
        <v>0.11849192100538598</v>
      </c>
      <c r="X30" s="33">
        <v>0.14699999999999999</v>
      </c>
      <c r="Y30" s="33">
        <v>0.13300000000000001</v>
      </c>
      <c r="Z30" s="33">
        <v>0.19</v>
      </c>
      <c r="AA30" s="33">
        <v>0.108</v>
      </c>
      <c r="AB30" s="33">
        <v>0.14399999999999999</v>
      </c>
      <c r="AC30" s="33">
        <v>0.16090499999999949</v>
      </c>
      <c r="AD30" s="34">
        <f t="shared" si="9"/>
        <v>1.4897272621184914</v>
      </c>
    </row>
    <row r="31" spans="2:30" x14ac:dyDescent="0.35">
      <c r="B31" s="33" t="s">
        <v>131</v>
      </c>
      <c r="C31" s="46">
        <v>4.4969513425622294</v>
      </c>
      <c r="D31" s="46">
        <v>0.82512216210671208</v>
      </c>
      <c r="E31" s="46">
        <v>2.1235136065071338</v>
      </c>
      <c r="F31" s="46">
        <v>1.6367809603867678</v>
      </c>
      <c r="G31" s="46">
        <v>1.0070124315347282</v>
      </c>
      <c r="H31" s="46">
        <v>1.6909401944195031</v>
      </c>
      <c r="I31" s="46">
        <v>0.96261634547581831</v>
      </c>
      <c r="J31" s="46">
        <v>1.3997608754111504</v>
      </c>
      <c r="K31" s="46">
        <v>1.2299359471595412</v>
      </c>
      <c r="L31" s="46">
        <v>1.2674293684440185</v>
      </c>
      <c r="M31" s="46">
        <v>0.82402144789436538</v>
      </c>
      <c r="N31" s="46">
        <v>8.0615159307256938</v>
      </c>
      <c r="O31" s="47">
        <f t="shared" si="8"/>
        <v>25.525600612627663</v>
      </c>
      <c r="Q31" s="33" t="s">
        <v>131</v>
      </c>
      <c r="R31" s="33">
        <v>5.2874037771113098</v>
      </c>
      <c r="S31" s="33">
        <v>0.42042097780000004</v>
      </c>
      <c r="T31" s="33">
        <v>1.0645253105924601</v>
      </c>
      <c r="U31" s="33">
        <v>0.77731355116696621</v>
      </c>
      <c r="V31" s="33">
        <v>0.46897657091561951</v>
      </c>
      <c r="W31" s="33">
        <v>0.73464922082585304</v>
      </c>
      <c r="X31" s="33">
        <v>0.4697375224416519</v>
      </c>
      <c r="Y31" s="33">
        <v>0.79899808976660713</v>
      </c>
      <c r="Z31" s="33">
        <v>0.57504950089766627</v>
      </c>
      <c r="AA31" s="33">
        <v>0.69294184715619389</v>
      </c>
      <c r="AB31" s="33">
        <v>0.47506676481149002</v>
      </c>
      <c r="AC31" s="33">
        <v>2.0410150977737889</v>
      </c>
      <c r="AD31" s="34">
        <f t="shared" si="9"/>
        <v>13.806098231259607</v>
      </c>
    </row>
    <row r="32" spans="2:30" x14ac:dyDescent="0.35">
      <c r="B32" s="33" t="s">
        <v>123</v>
      </c>
      <c r="C32" s="46">
        <v>34.310429851999999</v>
      </c>
      <c r="D32" s="46">
        <v>60.002606816327997</v>
      </c>
      <c r="E32" s="46">
        <v>77.111106553089996</v>
      </c>
      <c r="F32" s="46">
        <v>90.286109865046654</v>
      </c>
      <c r="G32" s="46">
        <v>131.00243358417799</v>
      </c>
      <c r="H32" s="46">
        <v>71.630168034433922</v>
      </c>
      <c r="I32" s="46">
        <v>117.40284525481607</v>
      </c>
      <c r="J32" s="46">
        <v>88.321658434776168</v>
      </c>
      <c r="K32" s="46">
        <v>112.04173812188601</v>
      </c>
      <c r="L32" s="46">
        <v>83.35008061336454</v>
      </c>
      <c r="M32" s="46">
        <v>39.388865151545119</v>
      </c>
      <c r="N32" s="46">
        <v>68.092652238385767</v>
      </c>
      <c r="O32" s="47">
        <f t="shared" si="8"/>
        <v>972.94069451985024</v>
      </c>
      <c r="Q32" s="33" t="s">
        <v>123</v>
      </c>
      <c r="R32" s="33">
        <v>41.939214999999997</v>
      </c>
      <c r="S32" s="33">
        <v>76.751639000000011</v>
      </c>
      <c r="T32" s="33">
        <v>126.830478</v>
      </c>
      <c r="U32" s="33">
        <v>186.18254399999998</v>
      </c>
      <c r="V32" s="33">
        <v>221.402174</v>
      </c>
      <c r="W32" s="33">
        <v>155.731447</v>
      </c>
      <c r="X32" s="33">
        <v>229.37529499999999</v>
      </c>
      <c r="Y32" s="33">
        <v>158.56850200000002</v>
      </c>
      <c r="Z32" s="33">
        <v>247.83754299999998</v>
      </c>
      <c r="AA32" s="33">
        <v>179.18715599999999</v>
      </c>
      <c r="AB32" s="33">
        <v>75.889242999999993</v>
      </c>
      <c r="AC32" s="33">
        <v>141.24216899999999</v>
      </c>
      <c r="AD32" s="34">
        <f t="shared" si="9"/>
        <v>1840.9374050000001</v>
      </c>
    </row>
    <row r="33" spans="2:30" x14ac:dyDescent="0.35">
      <c r="B33" s="33" t="s">
        <v>124</v>
      </c>
      <c r="C33" s="46">
        <v>1.5275239344262294E-2</v>
      </c>
      <c r="D33" s="46">
        <v>0.10011997683099498</v>
      </c>
      <c r="E33" s="46">
        <v>0.71683025061635841</v>
      </c>
      <c r="F33" s="46">
        <v>3.0960062932662052E-2</v>
      </c>
      <c r="G33" s="46">
        <v>1.2544155681104832E-2</v>
      </c>
      <c r="H33" s="46">
        <v>1.2570563480704722</v>
      </c>
      <c r="I33" s="46">
        <v>1.3377338179111458</v>
      </c>
      <c r="J33" s="46">
        <v>5.9075104774341261E-2</v>
      </c>
      <c r="K33" s="46">
        <v>5.512979767014102E-2</v>
      </c>
      <c r="L33" s="46">
        <v>2.4620782190132372E-2</v>
      </c>
      <c r="M33" s="46">
        <v>0.15937276319692234</v>
      </c>
      <c r="N33" s="46">
        <v>1.4452059838726754</v>
      </c>
      <c r="O33" s="47">
        <f t="shared" si="8"/>
        <v>5.2139242830912131</v>
      </c>
      <c r="Q33" s="33" t="s">
        <v>124</v>
      </c>
      <c r="R33" s="33">
        <v>2.2210000000000001E-2</v>
      </c>
      <c r="S33" s="33">
        <v>0.136074</v>
      </c>
      <c r="T33" s="33">
        <v>1.05982</v>
      </c>
      <c r="U33" s="33">
        <v>5.2760000000000008E-2</v>
      </c>
      <c r="V33" s="33">
        <v>2.2059999999999899E-2</v>
      </c>
      <c r="W33" s="33">
        <v>2.1127500000000001</v>
      </c>
      <c r="X33" s="33">
        <v>2.1286360000000002</v>
      </c>
      <c r="Y33" s="33">
        <v>9.4001000000000001E-2</v>
      </c>
      <c r="Z33" s="33">
        <v>0.186</v>
      </c>
      <c r="AA33" s="33">
        <v>4.3999999999999997E-2</v>
      </c>
      <c r="AB33" s="33">
        <v>0.36771600000000004</v>
      </c>
      <c r="AC33" s="33">
        <v>2.5617699999999997</v>
      </c>
      <c r="AD33" s="34">
        <f t="shared" si="9"/>
        <v>8.7877969999999994</v>
      </c>
    </row>
    <row r="34" spans="2:30" x14ac:dyDescent="0.35">
      <c r="B34" s="33" t="s">
        <v>132</v>
      </c>
      <c r="C34" s="46">
        <v>2.0392680000000003</v>
      </c>
      <c r="D34" s="46">
        <v>15.995650023075793</v>
      </c>
      <c r="E34" s="46">
        <v>16.615400000000001</v>
      </c>
      <c r="F34" s="46">
        <v>4.4096799999999998</v>
      </c>
      <c r="G34" s="46">
        <v>4.1420500000000002</v>
      </c>
      <c r="H34" s="46">
        <v>1.7292000000000001</v>
      </c>
      <c r="I34" s="46">
        <v>0</v>
      </c>
      <c r="J34" s="46">
        <v>0</v>
      </c>
      <c r="K34" s="46">
        <v>0</v>
      </c>
      <c r="L34" s="46">
        <v>0</v>
      </c>
      <c r="M34" s="46">
        <v>2.9656000000000007</v>
      </c>
      <c r="N34" s="46">
        <v>33.135261105989912</v>
      </c>
      <c r="O34" s="47">
        <f t="shared" si="8"/>
        <v>81.032109129065702</v>
      </c>
      <c r="Q34" s="33" t="s">
        <v>132</v>
      </c>
      <c r="R34" s="33">
        <v>4.4000000000000004</v>
      </c>
      <c r="S34" s="33">
        <v>33</v>
      </c>
      <c r="T34" s="33">
        <v>35.5</v>
      </c>
      <c r="U34" s="33">
        <v>11</v>
      </c>
      <c r="V34" s="33">
        <v>38.5</v>
      </c>
      <c r="W34" s="33">
        <v>16.5</v>
      </c>
      <c r="X34" s="33">
        <v>0</v>
      </c>
      <c r="Y34" s="33">
        <v>0</v>
      </c>
      <c r="Z34" s="33">
        <v>0</v>
      </c>
      <c r="AA34" s="33">
        <v>0</v>
      </c>
      <c r="AB34" s="33">
        <v>22</v>
      </c>
      <c r="AC34" s="33">
        <v>123.188265</v>
      </c>
      <c r="AD34" s="34">
        <f t="shared" si="9"/>
        <v>284.08826499999998</v>
      </c>
    </row>
    <row r="35" spans="2:30" x14ac:dyDescent="0.35">
      <c r="B35" s="33" t="s">
        <v>133</v>
      </c>
      <c r="C35" s="33">
        <v>234.18003244168415</v>
      </c>
      <c r="D35" s="33">
        <v>281.79059714824518</v>
      </c>
      <c r="E35" s="33">
        <v>243.83340945736262</v>
      </c>
      <c r="F35" s="33">
        <v>189.28544523606178</v>
      </c>
      <c r="G35" s="33">
        <v>215.61118482895958</v>
      </c>
      <c r="H35" s="33">
        <v>152.61409791062886</v>
      </c>
      <c r="I35" s="33">
        <v>103.31186477611999</v>
      </c>
      <c r="J35" s="33">
        <v>156.157202825144</v>
      </c>
      <c r="K35" s="33">
        <v>408.61100684957989</v>
      </c>
      <c r="L35" s="33">
        <v>145.91322200919001</v>
      </c>
      <c r="M35" s="33">
        <v>210.5711370060715</v>
      </c>
      <c r="N35" s="33">
        <v>199.85823647857583</v>
      </c>
      <c r="O35" s="47">
        <f t="shared" si="8"/>
        <v>2541.7374369676236</v>
      </c>
      <c r="Q35" s="33" t="s">
        <v>133</v>
      </c>
      <c r="R35" s="33">
        <v>275.36875599999996</v>
      </c>
      <c r="S35" s="33">
        <v>300.483291764</v>
      </c>
      <c r="T35" s="33">
        <v>267.10901900000005</v>
      </c>
      <c r="U35" s="33">
        <v>213.67492699999997</v>
      </c>
      <c r="V35" s="33">
        <v>398.12709799999999</v>
      </c>
      <c r="W35" s="33">
        <v>254.49000000000004</v>
      </c>
      <c r="X35" s="33">
        <v>123.094763</v>
      </c>
      <c r="Y35" s="33">
        <v>229.29450599999998</v>
      </c>
      <c r="Z35" s="33">
        <v>684.2507720000001</v>
      </c>
      <c r="AA35" s="33">
        <v>215.47647999999998</v>
      </c>
      <c r="AB35" s="33">
        <v>319.98867189999999</v>
      </c>
      <c r="AC35" s="33">
        <v>435.154759125</v>
      </c>
      <c r="AD35" s="34">
        <f t="shared" si="9"/>
        <v>3716.5130437890002</v>
      </c>
    </row>
    <row r="36" spans="2:30" ht="15.5" x14ac:dyDescent="0.35">
      <c r="B36" s="42" t="s">
        <v>139</v>
      </c>
      <c r="C36" s="48">
        <f t="shared" ref="C36:O36" si="10">SUM(C24:C35)</f>
        <v>5812.2228846522466</v>
      </c>
      <c r="D36" s="48">
        <f t="shared" si="10"/>
        <v>6470.0686200639766</v>
      </c>
      <c r="E36" s="48">
        <f t="shared" si="10"/>
        <v>6594.6727744524351</v>
      </c>
      <c r="F36" s="48">
        <f t="shared" si="10"/>
        <v>4784.1327595629782</v>
      </c>
      <c r="G36" s="48">
        <f t="shared" si="10"/>
        <v>4861.3747010847655</v>
      </c>
      <c r="H36" s="48">
        <f t="shared" si="10"/>
        <v>4411.2464531195892</v>
      </c>
      <c r="I36" s="48">
        <f t="shared" si="10"/>
        <v>3729.8439665291721</v>
      </c>
      <c r="J36" s="48">
        <f t="shared" si="10"/>
        <v>3791.398463328374</v>
      </c>
      <c r="K36" s="48">
        <f t="shared" si="10"/>
        <v>4487.9365448480175</v>
      </c>
      <c r="L36" s="48">
        <f t="shared" si="10"/>
        <v>3822.6032958380124</v>
      </c>
      <c r="M36" s="48">
        <f t="shared" si="10"/>
        <v>4079.6498183760164</v>
      </c>
      <c r="N36" s="48">
        <f t="shared" si="10"/>
        <v>4478.1793437981132</v>
      </c>
      <c r="O36" s="48">
        <f t="shared" si="10"/>
        <v>57323.329625653692</v>
      </c>
      <c r="Q36" s="42" t="s">
        <v>139</v>
      </c>
      <c r="R36" s="37">
        <f t="shared" ref="R36:AD36" si="11">SUM(R24:R35)</f>
        <v>5437.7945625963193</v>
      </c>
      <c r="S36" s="37">
        <f t="shared" si="11"/>
        <v>5683.3874167285194</v>
      </c>
      <c r="T36" s="37">
        <f t="shared" si="11"/>
        <v>5507.759536841606</v>
      </c>
      <c r="U36" s="37">
        <f t="shared" si="11"/>
        <v>4612.11780573737</v>
      </c>
      <c r="V36" s="37">
        <f t="shared" si="11"/>
        <v>5241.8474495352884</v>
      </c>
      <c r="W36" s="37">
        <f t="shared" si="11"/>
        <v>4988.6690500234199</v>
      </c>
      <c r="X36" s="37">
        <f t="shared" si="11"/>
        <v>3973.1870980650128</v>
      </c>
      <c r="Y36" s="37">
        <f t="shared" si="11"/>
        <v>4267.1732026787158</v>
      </c>
      <c r="Z36" s="37">
        <f t="shared" si="11"/>
        <v>5697.8103581851447</v>
      </c>
      <c r="AA36" s="37">
        <f t="shared" si="11"/>
        <v>4501.3059314050297</v>
      </c>
      <c r="AB36" s="37">
        <f t="shared" si="11"/>
        <v>5058.061693204053</v>
      </c>
      <c r="AC36" s="37">
        <f t="shared" si="11"/>
        <v>6045.8224371065216</v>
      </c>
      <c r="AD36" s="37">
        <f t="shared" si="11"/>
        <v>61014.936542106996</v>
      </c>
    </row>
    <row r="37" spans="2:30" ht="15.5" x14ac:dyDescent="0.35">
      <c r="B37" s="38" t="s">
        <v>140</v>
      </c>
      <c r="C37" s="48">
        <f t="shared" ref="C37:O37" si="12">+C22-C36</f>
        <v>13945.90414478061</v>
      </c>
      <c r="D37" s="48">
        <f t="shared" si="12"/>
        <v>11346.348967558246</v>
      </c>
      <c r="E37" s="48">
        <f t="shared" si="12"/>
        <v>11365.640665421935</v>
      </c>
      <c r="F37" s="48">
        <f t="shared" si="12"/>
        <v>13984.776823057924</v>
      </c>
      <c r="G37" s="48">
        <f t="shared" si="12"/>
        <v>10305.881928526374</v>
      </c>
      <c r="H37" s="48">
        <f t="shared" si="12"/>
        <v>9263.0329497575221</v>
      </c>
      <c r="I37" s="48">
        <f t="shared" si="12"/>
        <v>10466.952445512725</v>
      </c>
      <c r="J37" s="48">
        <f t="shared" si="12"/>
        <v>10658.086681212315</v>
      </c>
      <c r="K37" s="48">
        <f t="shared" si="12"/>
        <v>9130.9120883377727</v>
      </c>
      <c r="L37" s="48">
        <f t="shared" si="12"/>
        <v>9530.0399389560862</v>
      </c>
      <c r="M37" s="48">
        <f t="shared" si="12"/>
        <v>8517.2653227021001</v>
      </c>
      <c r="N37" s="48">
        <f t="shared" si="12"/>
        <v>8605.3495216820811</v>
      </c>
      <c r="O37" s="48">
        <f t="shared" si="12"/>
        <v>127120.19147750572</v>
      </c>
      <c r="Q37" s="38" t="s">
        <v>140</v>
      </c>
      <c r="R37" s="37">
        <f t="shared" ref="R37:AD37" si="13">+R22-R36</f>
        <v>20353.710792588685</v>
      </c>
      <c r="S37" s="37">
        <f t="shared" si="13"/>
        <v>17251.449571806479</v>
      </c>
      <c r="T37" s="37">
        <f t="shared" si="13"/>
        <v>16829.954156700398</v>
      </c>
      <c r="U37" s="37">
        <f t="shared" si="13"/>
        <v>19744.17112574463</v>
      </c>
      <c r="V37" s="37">
        <f t="shared" si="13"/>
        <v>15633.396627729708</v>
      </c>
      <c r="W37" s="37">
        <f t="shared" si="13"/>
        <v>14944.494576382667</v>
      </c>
      <c r="X37" s="37">
        <f t="shared" si="13"/>
        <v>18088.0518728389</v>
      </c>
      <c r="Y37" s="37">
        <f t="shared" si="13"/>
        <v>18777.893095255284</v>
      </c>
      <c r="Z37" s="37">
        <f t="shared" si="13"/>
        <v>17970.141182313855</v>
      </c>
      <c r="AA37" s="37">
        <f t="shared" si="13"/>
        <v>19510.388698219973</v>
      </c>
      <c r="AB37" s="37">
        <f t="shared" si="13"/>
        <v>17945.596324750943</v>
      </c>
      <c r="AC37" s="37">
        <f t="shared" si="13"/>
        <v>19234.100778387477</v>
      </c>
      <c r="AD37" s="37">
        <f t="shared" si="13"/>
        <v>216283.34880271906</v>
      </c>
    </row>
  </sheetData>
  <mergeCells count="4">
    <mergeCell ref="B5:O5"/>
    <mergeCell ref="Q5:AD5"/>
    <mergeCell ref="B4:O4"/>
    <mergeCell ref="Q4:A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99D3-7B16-4021-B8C8-66768A3B555F}">
  <dimension ref="A2:AC60"/>
  <sheetViews>
    <sheetView topLeftCell="Q1" workbookViewId="0">
      <selection activeCell="AC34" sqref="AC34"/>
    </sheetView>
  </sheetViews>
  <sheetFormatPr defaultRowHeight="14.5" x14ac:dyDescent="0.35"/>
  <cols>
    <col min="1" max="1" width="9.36328125" customWidth="1"/>
    <col min="2" max="2" width="9.6328125" customWidth="1"/>
    <col min="3" max="3" width="9.90625" bestFit="1" customWidth="1"/>
    <col min="4" max="4" width="18.6328125" bestFit="1" customWidth="1"/>
    <col min="5" max="5" width="12.36328125" bestFit="1" customWidth="1"/>
    <col min="6" max="6" width="6.453125" bestFit="1" customWidth="1"/>
    <col min="7" max="7" width="16" bestFit="1" customWidth="1"/>
    <col min="8" max="8" width="11.1796875" bestFit="1" customWidth="1"/>
    <col min="9" max="9" width="6.453125" bestFit="1" customWidth="1"/>
    <col min="10" max="10" width="9.90625" bestFit="1" customWidth="1"/>
    <col min="11" max="11" width="17.7265625" bestFit="1" customWidth="1"/>
    <col min="12" max="12" width="21.54296875" bestFit="1" customWidth="1"/>
    <col min="13" max="13" width="6.453125" bestFit="1" customWidth="1"/>
    <col min="14" max="14" width="21.453125" bestFit="1" customWidth="1"/>
    <col min="15" max="15" width="31.26953125" bestFit="1" customWidth="1"/>
    <col min="16" max="16" width="17.81640625" bestFit="1" customWidth="1"/>
    <col min="17" max="17" width="25.36328125" bestFit="1" customWidth="1"/>
    <col min="18" max="18" width="7.7265625" bestFit="1" customWidth="1"/>
    <col min="19" max="19" width="8.81640625" bestFit="1" customWidth="1"/>
    <col min="20" max="20" width="19.6328125" bestFit="1" customWidth="1"/>
    <col min="21" max="21" width="7.6328125" bestFit="1" customWidth="1"/>
    <col min="22" max="22" width="12" bestFit="1" customWidth="1"/>
    <col min="23" max="23" width="26.36328125" bestFit="1" customWidth="1"/>
    <col min="24" max="24" width="6.36328125" bestFit="1" customWidth="1"/>
    <col min="25" max="25" width="26.453125" bestFit="1" customWidth="1"/>
    <col min="26" max="26" width="24.08984375" bestFit="1" customWidth="1"/>
    <col min="27" max="27" width="9.1796875" bestFit="1" customWidth="1"/>
    <col min="28" max="28" width="22" bestFit="1" customWidth="1"/>
    <col min="29" max="29" width="12.7265625" bestFit="1" customWidth="1"/>
  </cols>
  <sheetData>
    <row r="2" spans="1:29" x14ac:dyDescent="0.35">
      <c r="A2" t="s">
        <v>0</v>
      </c>
      <c r="B2" t="s">
        <v>30</v>
      </c>
    </row>
    <row r="4" spans="1:29" x14ac:dyDescent="0.3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74</v>
      </c>
      <c r="P4" s="15" t="s">
        <v>15</v>
      </c>
      <c r="Q4" s="15" t="s">
        <v>73</v>
      </c>
      <c r="R4" s="15" t="s">
        <v>17</v>
      </c>
      <c r="S4" s="15" t="s">
        <v>18</v>
      </c>
      <c r="T4" s="15" t="s">
        <v>19</v>
      </c>
      <c r="U4" s="15" t="s">
        <v>20</v>
      </c>
      <c r="V4" s="15" t="s">
        <v>21</v>
      </c>
      <c r="W4" s="15" t="s">
        <v>22</v>
      </c>
      <c r="X4" s="15" t="s">
        <v>23</v>
      </c>
      <c r="Y4" s="15" t="s">
        <v>24</v>
      </c>
      <c r="Z4" s="15" t="s">
        <v>25</v>
      </c>
      <c r="AA4" s="15" t="s">
        <v>26</v>
      </c>
      <c r="AB4" s="15" t="s">
        <v>27</v>
      </c>
      <c r="AC4" s="15" t="s">
        <v>28</v>
      </c>
    </row>
    <row r="5" spans="1:29" x14ac:dyDescent="0.35">
      <c r="A5" s="10" t="s">
        <v>30</v>
      </c>
      <c r="B5" s="10">
        <v>2021</v>
      </c>
      <c r="C5" s="10" t="s">
        <v>37</v>
      </c>
      <c r="D5" s="52">
        <v>142.69999999999999</v>
      </c>
      <c r="E5" s="10">
        <v>195.5</v>
      </c>
      <c r="F5" s="10">
        <v>163.4</v>
      </c>
      <c r="G5" s="10">
        <v>155</v>
      </c>
      <c r="H5" s="10">
        <v>175.2</v>
      </c>
      <c r="I5" s="10">
        <v>160.6</v>
      </c>
      <c r="J5" s="10">
        <v>135.1</v>
      </c>
      <c r="K5" s="10">
        <v>161.1</v>
      </c>
      <c r="L5" s="10">
        <v>112.2</v>
      </c>
      <c r="M5" s="10">
        <v>164.4</v>
      </c>
      <c r="N5" s="10">
        <v>161.9</v>
      </c>
      <c r="O5" s="10">
        <v>166.8</v>
      </c>
      <c r="P5" s="10">
        <v>155.6</v>
      </c>
      <c r="Q5" s="10">
        <v>186.8</v>
      </c>
      <c r="R5" s="10">
        <v>160.69999999999999</v>
      </c>
      <c r="S5" s="10">
        <v>155.1</v>
      </c>
      <c r="T5" s="10">
        <v>159.9</v>
      </c>
      <c r="U5" s="10" t="s">
        <v>32</v>
      </c>
      <c r="V5" s="10">
        <v>156</v>
      </c>
      <c r="W5" s="10">
        <v>155.5</v>
      </c>
      <c r="X5" s="10">
        <v>165.3</v>
      </c>
      <c r="Y5" s="10">
        <v>151.69999999999999</v>
      </c>
      <c r="Z5" s="10">
        <v>158.6</v>
      </c>
      <c r="AA5" s="10">
        <v>164.1</v>
      </c>
      <c r="AB5" s="10">
        <v>154.6</v>
      </c>
      <c r="AC5" s="10">
        <v>158</v>
      </c>
    </row>
    <row r="6" spans="1:29" x14ac:dyDescent="0.35">
      <c r="A6" s="15" t="s">
        <v>30</v>
      </c>
      <c r="B6" s="15">
        <v>2021</v>
      </c>
      <c r="C6" s="15" t="s">
        <v>38</v>
      </c>
      <c r="D6" s="26">
        <v>145.1</v>
      </c>
      <c r="E6" s="15">
        <v>198.5</v>
      </c>
      <c r="F6" s="15">
        <v>168.6</v>
      </c>
      <c r="G6" s="15">
        <v>155.80000000000001</v>
      </c>
      <c r="H6" s="15">
        <v>184.4</v>
      </c>
      <c r="I6" s="15">
        <v>162.30000000000001</v>
      </c>
      <c r="J6" s="15">
        <v>138.4</v>
      </c>
      <c r="K6" s="15">
        <v>165.1</v>
      </c>
      <c r="L6" s="15">
        <v>114.3</v>
      </c>
      <c r="M6" s="15">
        <v>169.7</v>
      </c>
      <c r="N6" s="15">
        <v>164.6</v>
      </c>
      <c r="O6" s="15">
        <v>169.8</v>
      </c>
      <c r="P6" s="15">
        <v>158.69999999999999</v>
      </c>
      <c r="Q6" s="15">
        <v>189.6</v>
      </c>
      <c r="R6" s="15">
        <v>165.3</v>
      </c>
      <c r="S6" s="15">
        <v>160.6</v>
      </c>
      <c r="T6" s="15">
        <v>164.5</v>
      </c>
      <c r="U6" s="15" t="s">
        <v>32</v>
      </c>
      <c r="V6" s="15">
        <v>161.69999999999999</v>
      </c>
      <c r="W6" s="15">
        <v>158.80000000000001</v>
      </c>
      <c r="X6" s="15">
        <v>169.1</v>
      </c>
      <c r="Y6" s="15">
        <v>153.19999999999999</v>
      </c>
      <c r="Z6" s="15">
        <v>160</v>
      </c>
      <c r="AA6" s="15">
        <v>167.6</v>
      </c>
      <c r="AB6" s="15">
        <v>159.30000000000001</v>
      </c>
      <c r="AC6" s="15">
        <v>161.1</v>
      </c>
    </row>
    <row r="7" spans="1:29" x14ac:dyDescent="0.35">
      <c r="A7" s="15" t="s">
        <v>30</v>
      </c>
      <c r="B7" s="15">
        <v>2021</v>
      </c>
      <c r="C7" s="15" t="s">
        <v>39</v>
      </c>
      <c r="D7" s="26">
        <v>145.6</v>
      </c>
      <c r="E7" s="15">
        <v>200.1</v>
      </c>
      <c r="F7" s="15">
        <v>179.3</v>
      </c>
      <c r="G7" s="15">
        <v>156.1</v>
      </c>
      <c r="H7" s="15">
        <v>190.4</v>
      </c>
      <c r="I7" s="15">
        <v>158.6</v>
      </c>
      <c r="J7" s="15">
        <v>144.69999999999999</v>
      </c>
      <c r="K7" s="15">
        <v>165.5</v>
      </c>
      <c r="L7" s="15">
        <v>114.6</v>
      </c>
      <c r="M7" s="15">
        <v>170</v>
      </c>
      <c r="N7" s="15">
        <v>165.5</v>
      </c>
      <c r="O7" s="15">
        <v>171.7</v>
      </c>
      <c r="P7" s="15">
        <v>160.5</v>
      </c>
      <c r="Q7" s="15">
        <v>189.1</v>
      </c>
      <c r="R7" s="15">
        <v>165.3</v>
      </c>
      <c r="S7" s="15">
        <v>159.9</v>
      </c>
      <c r="T7" s="15">
        <v>164.6</v>
      </c>
      <c r="U7" s="15" t="s">
        <v>32</v>
      </c>
      <c r="V7" s="15">
        <v>162.1</v>
      </c>
      <c r="W7" s="15">
        <v>159.19999999999999</v>
      </c>
      <c r="X7" s="15">
        <v>169.7</v>
      </c>
      <c r="Y7" s="15">
        <v>154.19999999999999</v>
      </c>
      <c r="Z7" s="15">
        <v>160.4</v>
      </c>
      <c r="AA7" s="15">
        <v>166.8</v>
      </c>
      <c r="AB7" s="15">
        <v>159.4</v>
      </c>
      <c r="AC7" s="15">
        <v>161.5</v>
      </c>
    </row>
    <row r="8" spans="1:29" x14ac:dyDescent="0.35">
      <c r="A8" s="15" t="s">
        <v>30</v>
      </c>
      <c r="B8" s="15">
        <v>2021</v>
      </c>
      <c r="C8" s="15" t="s">
        <v>40</v>
      </c>
      <c r="D8" s="26">
        <v>145.1</v>
      </c>
      <c r="E8" s="15">
        <v>204.5</v>
      </c>
      <c r="F8" s="15">
        <v>180.4</v>
      </c>
      <c r="G8" s="15">
        <v>157.1</v>
      </c>
      <c r="H8" s="15">
        <v>188.7</v>
      </c>
      <c r="I8" s="15">
        <v>157.69999999999999</v>
      </c>
      <c r="J8" s="15">
        <v>152.80000000000001</v>
      </c>
      <c r="K8" s="15">
        <v>163.6</v>
      </c>
      <c r="L8" s="15">
        <v>113.9</v>
      </c>
      <c r="M8" s="15">
        <v>169.7</v>
      </c>
      <c r="N8" s="15">
        <v>166.2</v>
      </c>
      <c r="O8" s="15">
        <v>171</v>
      </c>
      <c r="P8" s="15">
        <v>161.69999999999999</v>
      </c>
      <c r="Q8" s="15">
        <v>189.7</v>
      </c>
      <c r="R8" s="15">
        <v>166</v>
      </c>
      <c r="S8" s="15">
        <v>161.1</v>
      </c>
      <c r="T8" s="15">
        <v>165.3</v>
      </c>
      <c r="U8" s="15" t="s">
        <v>32</v>
      </c>
      <c r="V8" s="15">
        <v>162.5</v>
      </c>
      <c r="W8" s="15">
        <v>160.30000000000001</v>
      </c>
      <c r="X8" s="15">
        <v>170.4</v>
      </c>
      <c r="Y8" s="15">
        <v>157.1</v>
      </c>
      <c r="Z8" s="15">
        <v>160.69999999999999</v>
      </c>
      <c r="AA8" s="15">
        <v>167.2</v>
      </c>
      <c r="AB8" s="15">
        <v>160.4</v>
      </c>
      <c r="AC8" s="15">
        <v>162.80000000000001</v>
      </c>
    </row>
    <row r="9" spans="1:29" x14ac:dyDescent="0.35">
      <c r="A9" s="15" t="s">
        <v>30</v>
      </c>
      <c r="B9" s="15">
        <v>2021</v>
      </c>
      <c r="C9" s="15" t="s">
        <v>41</v>
      </c>
      <c r="D9" s="26">
        <v>144.9</v>
      </c>
      <c r="E9" s="15">
        <v>202.3</v>
      </c>
      <c r="F9" s="15">
        <v>176.5</v>
      </c>
      <c r="G9" s="15">
        <v>157.5</v>
      </c>
      <c r="H9" s="15">
        <v>190.9</v>
      </c>
      <c r="I9" s="15">
        <v>155.69999999999999</v>
      </c>
      <c r="J9" s="15">
        <v>153.9</v>
      </c>
      <c r="K9" s="15">
        <v>162.80000000000001</v>
      </c>
      <c r="L9" s="15">
        <v>115.2</v>
      </c>
      <c r="M9" s="15">
        <v>169.8</v>
      </c>
      <c r="N9" s="15">
        <v>167.6</v>
      </c>
      <c r="O9" s="15">
        <v>171.9</v>
      </c>
      <c r="P9" s="15">
        <v>161.80000000000001</v>
      </c>
      <c r="Q9" s="15">
        <v>190.2</v>
      </c>
      <c r="R9" s="15">
        <v>167</v>
      </c>
      <c r="S9" s="15">
        <v>162.6</v>
      </c>
      <c r="T9" s="15">
        <v>166.3</v>
      </c>
      <c r="U9" s="15" t="s">
        <v>32</v>
      </c>
      <c r="V9" s="15">
        <v>163.1</v>
      </c>
      <c r="W9" s="15">
        <v>160.9</v>
      </c>
      <c r="X9" s="15">
        <v>171.1</v>
      </c>
      <c r="Y9" s="15">
        <v>157.69999999999999</v>
      </c>
      <c r="Z9" s="15">
        <v>161.1</v>
      </c>
      <c r="AA9" s="15">
        <v>167.5</v>
      </c>
      <c r="AB9" s="15">
        <v>160.30000000000001</v>
      </c>
      <c r="AC9" s="15">
        <v>163.30000000000001</v>
      </c>
    </row>
    <row r="10" spans="1:29" x14ac:dyDescent="0.35">
      <c r="A10" s="15" t="s">
        <v>30</v>
      </c>
      <c r="B10" s="15">
        <v>2021</v>
      </c>
      <c r="C10" s="15" t="s">
        <v>42</v>
      </c>
      <c r="D10" s="26">
        <v>145.4</v>
      </c>
      <c r="E10" s="15">
        <v>202.1</v>
      </c>
      <c r="F10" s="15">
        <v>172</v>
      </c>
      <c r="G10" s="15">
        <v>158</v>
      </c>
      <c r="H10" s="15">
        <v>195.5</v>
      </c>
      <c r="I10" s="15">
        <v>152.69999999999999</v>
      </c>
      <c r="J10" s="15">
        <v>151.4</v>
      </c>
      <c r="K10" s="15">
        <v>163.9</v>
      </c>
      <c r="L10" s="15">
        <v>119.3</v>
      </c>
      <c r="M10" s="15">
        <v>170.1</v>
      </c>
      <c r="N10" s="15">
        <v>168.3</v>
      </c>
      <c r="O10" s="15">
        <v>172.8</v>
      </c>
      <c r="P10" s="15">
        <v>162.1</v>
      </c>
      <c r="Q10" s="15">
        <v>190.5</v>
      </c>
      <c r="R10" s="15">
        <v>167.7</v>
      </c>
      <c r="S10" s="15">
        <v>163.6</v>
      </c>
      <c r="T10" s="15">
        <v>167.1</v>
      </c>
      <c r="U10" s="15" t="s">
        <v>32</v>
      </c>
      <c r="V10" s="15">
        <v>163.69999999999999</v>
      </c>
      <c r="W10" s="15">
        <v>161.30000000000001</v>
      </c>
      <c r="X10" s="15">
        <v>171.9</v>
      </c>
      <c r="Y10" s="15">
        <v>157.80000000000001</v>
      </c>
      <c r="Z10" s="15">
        <v>162.69999999999999</v>
      </c>
      <c r="AA10" s="15">
        <v>168.5</v>
      </c>
      <c r="AB10" s="15">
        <v>160.19999999999999</v>
      </c>
      <c r="AC10" s="15">
        <v>163.80000000000001</v>
      </c>
    </row>
    <row r="11" spans="1:29" x14ac:dyDescent="0.35">
      <c r="A11" s="15" t="s">
        <v>30</v>
      </c>
      <c r="B11" s="15">
        <v>2021</v>
      </c>
      <c r="C11" s="15" t="s">
        <v>43</v>
      </c>
      <c r="D11" s="26">
        <v>146.1</v>
      </c>
      <c r="E11" s="15">
        <v>202.5</v>
      </c>
      <c r="F11" s="15">
        <v>170.1</v>
      </c>
      <c r="G11" s="15">
        <v>158.4</v>
      </c>
      <c r="H11" s="15">
        <v>198.8</v>
      </c>
      <c r="I11" s="15">
        <v>152.6</v>
      </c>
      <c r="J11" s="15">
        <v>170.4</v>
      </c>
      <c r="K11" s="15">
        <v>165.2</v>
      </c>
      <c r="L11" s="15">
        <v>121.6</v>
      </c>
      <c r="M11" s="15">
        <v>170.6</v>
      </c>
      <c r="N11" s="15">
        <v>168.8</v>
      </c>
      <c r="O11" s="15">
        <v>173.6</v>
      </c>
      <c r="P11" s="15">
        <v>165.5</v>
      </c>
      <c r="Q11" s="15">
        <v>191.2</v>
      </c>
      <c r="R11" s="15">
        <v>168.9</v>
      </c>
      <c r="S11" s="15">
        <v>164.8</v>
      </c>
      <c r="T11" s="15">
        <v>168.3</v>
      </c>
      <c r="U11" s="15" t="s">
        <v>32</v>
      </c>
      <c r="V11" s="15">
        <v>165.5</v>
      </c>
      <c r="W11" s="15">
        <v>162</v>
      </c>
      <c r="X11" s="15">
        <v>172.5</v>
      </c>
      <c r="Y11" s="15">
        <v>159.5</v>
      </c>
      <c r="Z11" s="15">
        <v>163.19999999999999</v>
      </c>
      <c r="AA11" s="15">
        <v>169</v>
      </c>
      <c r="AB11" s="15">
        <v>161.1</v>
      </c>
      <c r="AC11" s="15">
        <v>164.7</v>
      </c>
    </row>
    <row r="12" spans="1:29" x14ac:dyDescent="0.35">
      <c r="A12" s="15" t="s">
        <v>30</v>
      </c>
      <c r="B12" s="15">
        <v>2021</v>
      </c>
      <c r="C12" s="15" t="s">
        <v>45</v>
      </c>
      <c r="D12" s="26">
        <v>146.9</v>
      </c>
      <c r="E12" s="15">
        <v>199.8</v>
      </c>
      <c r="F12" s="15">
        <v>171.5</v>
      </c>
      <c r="G12" s="15">
        <v>159.1</v>
      </c>
      <c r="H12" s="15">
        <v>198.4</v>
      </c>
      <c r="I12" s="15">
        <v>153.19999999999999</v>
      </c>
      <c r="J12" s="15">
        <v>183.9</v>
      </c>
      <c r="K12" s="15">
        <v>165.4</v>
      </c>
      <c r="L12" s="15">
        <v>122.1</v>
      </c>
      <c r="M12" s="15">
        <v>170.8</v>
      </c>
      <c r="N12" s="15">
        <v>169.1</v>
      </c>
      <c r="O12" s="15">
        <v>174.3</v>
      </c>
      <c r="P12" s="15">
        <v>167.5</v>
      </c>
      <c r="Q12" s="15">
        <v>191.4</v>
      </c>
      <c r="R12" s="15">
        <v>170.4</v>
      </c>
      <c r="S12" s="15">
        <v>166</v>
      </c>
      <c r="T12" s="15">
        <v>169.8</v>
      </c>
      <c r="U12" s="15" t="s">
        <v>32</v>
      </c>
      <c r="V12" s="15">
        <v>165.3</v>
      </c>
      <c r="W12" s="15">
        <v>162.9</v>
      </c>
      <c r="X12" s="15">
        <v>173.4</v>
      </c>
      <c r="Y12" s="15">
        <v>158.9</v>
      </c>
      <c r="Z12" s="15">
        <v>163.80000000000001</v>
      </c>
      <c r="AA12" s="15">
        <v>169.3</v>
      </c>
      <c r="AB12" s="15">
        <v>162.4</v>
      </c>
      <c r="AC12" s="15">
        <v>165.2</v>
      </c>
    </row>
    <row r="13" spans="1:29" x14ac:dyDescent="0.35">
      <c r="A13" s="15" t="s">
        <v>30</v>
      </c>
      <c r="B13" s="15">
        <v>2021</v>
      </c>
      <c r="C13" s="15" t="s">
        <v>46</v>
      </c>
      <c r="D13" s="26">
        <v>147.4</v>
      </c>
      <c r="E13" s="15">
        <v>197</v>
      </c>
      <c r="F13" s="15">
        <v>176.5</v>
      </c>
      <c r="G13" s="15">
        <v>159.80000000000001</v>
      </c>
      <c r="H13" s="15">
        <v>195.8</v>
      </c>
      <c r="I13" s="15">
        <v>152</v>
      </c>
      <c r="J13" s="15">
        <v>172.3</v>
      </c>
      <c r="K13" s="15">
        <v>164.5</v>
      </c>
      <c r="L13" s="15">
        <v>120.6</v>
      </c>
      <c r="M13" s="15">
        <v>171.7</v>
      </c>
      <c r="N13" s="15">
        <v>169.7</v>
      </c>
      <c r="O13" s="15">
        <v>175.1</v>
      </c>
      <c r="P13" s="15">
        <v>165.8</v>
      </c>
      <c r="Q13" s="15">
        <v>190.8</v>
      </c>
      <c r="R13" s="15">
        <v>171.8</v>
      </c>
      <c r="S13" s="15">
        <v>167.3</v>
      </c>
      <c r="T13" s="15">
        <v>171.2</v>
      </c>
      <c r="U13" s="15" t="s">
        <v>32</v>
      </c>
      <c r="V13" s="15">
        <v>165.6</v>
      </c>
      <c r="W13" s="15">
        <v>163.9</v>
      </c>
      <c r="X13" s="15">
        <v>174</v>
      </c>
      <c r="Y13" s="15">
        <v>160.1</v>
      </c>
      <c r="Z13" s="15">
        <v>164.5</v>
      </c>
      <c r="AA13" s="15">
        <v>169.7</v>
      </c>
      <c r="AB13" s="15">
        <v>162.80000000000001</v>
      </c>
      <c r="AC13" s="15">
        <v>166</v>
      </c>
    </row>
    <row r="14" spans="1:29" x14ac:dyDescent="0.35">
      <c r="A14" s="15" t="s">
        <v>30</v>
      </c>
      <c r="B14" s="15">
        <v>2022</v>
      </c>
      <c r="C14" s="15" t="s">
        <v>31</v>
      </c>
      <c r="D14" s="26">
        <v>148.30000000000001</v>
      </c>
      <c r="E14" s="15">
        <v>196.9</v>
      </c>
      <c r="F14" s="15">
        <v>178</v>
      </c>
      <c r="G14" s="15">
        <v>160.5</v>
      </c>
      <c r="H14" s="15">
        <v>192.6</v>
      </c>
      <c r="I14" s="15">
        <v>151.19999999999999</v>
      </c>
      <c r="J14" s="15">
        <v>159.19999999999999</v>
      </c>
      <c r="K14" s="15">
        <v>164</v>
      </c>
      <c r="L14" s="15">
        <v>119.3</v>
      </c>
      <c r="M14" s="15">
        <v>173.3</v>
      </c>
      <c r="N14" s="15">
        <v>169.8</v>
      </c>
      <c r="O14" s="15">
        <v>175.8</v>
      </c>
      <c r="P14" s="15">
        <v>164.1</v>
      </c>
      <c r="Q14" s="15">
        <v>190.7</v>
      </c>
      <c r="R14" s="15">
        <v>173.2</v>
      </c>
      <c r="S14" s="15">
        <v>169.3</v>
      </c>
      <c r="T14" s="15">
        <v>172.7</v>
      </c>
      <c r="U14" s="15" t="s">
        <v>32</v>
      </c>
      <c r="V14" s="15">
        <v>165.8</v>
      </c>
      <c r="W14" s="15">
        <v>164.9</v>
      </c>
      <c r="X14" s="15">
        <v>174.7</v>
      </c>
      <c r="Y14" s="15">
        <v>160.80000000000001</v>
      </c>
      <c r="Z14" s="15">
        <v>164.9</v>
      </c>
      <c r="AA14" s="15">
        <v>169.9</v>
      </c>
      <c r="AB14" s="15">
        <v>163.19999999999999</v>
      </c>
      <c r="AC14" s="15">
        <v>166.6</v>
      </c>
    </row>
    <row r="15" spans="1:29" x14ac:dyDescent="0.35">
      <c r="A15" s="15" t="s">
        <v>30</v>
      </c>
      <c r="B15" s="15">
        <v>2022</v>
      </c>
      <c r="C15" s="15" t="s">
        <v>35</v>
      </c>
      <c r="D15" s="26">
        <v>148.80000000000001</v>
      </c>
      <c r="E15" s="15">
        <v>198.1</v>
      </c>
      <c r="F15" s="15">
        <v>175.5</v>
      </c>
      <c r="G15" s="15">
        <v>160.69999999999999</v>
      </c>
      <c r="H15" s="15">
        <v>192.6</v>
      </c>
      <c r="I15" s="15">
        <v>151.4</v>
      </c>
      <c r="J15" s="15">
        <v>155.19999999999999</v>
      </c>
      <c r="K15" s="15">
        <v>163.9</v>
      </c>
      <c r="L15" s="15">
        <v>118.1</v>
      </c>
      <c r="M15" s="15">
        <v>175.4</v>
      </c>
      <c r="N15" s="15">
        <v>170.5</v>
      </c>
      <c r="O15" s="15">
        <v>176.3</v>
      </c>
      <c r="P15" s="15">
        <v>163.9</v>
      </c>
      <c r="Q15" s="15">
        <v>191.5</v>
      </c>
      <c r="R15" s="15">
        <v>174.1</v>
      </c>
      <c r="S15" s="15">
        <v>171</v>
      </c>
      <c r="T15" s="15">
        <v>173.7</v>
      </c>
      <c r="U15" s="15" t="s">
        <v>32</v>
      </c>
      <c r="V15" s="15">
        <v>167.4</v>
      </c>
      <c r="W15" s="15">
        <v>165.7</v>
      </c>
      <c r="X15" s="15">
        <v>175.3</v>
      </c>
      <c r="Y15" s="15">
        <v>161.19999999999999</v>
      </c>
      <c r="Z15" s="15">
        <v>165.5</v>
      </c>
      <c r="AA15" s="15">
        <v>170.3</v>
      </c>
      <c r="AB15" s="15">
        <v>164.5</v>
      </c>
      <c r="AC15" s="15">
        <v>167.3</v>
      </c>
    </row>
    <row r="16" spans="1:29" x14ac:dyDescent="0.35">
      <c r="A16" s="15" t="s">
        <v>30</v>
      </c>
      <c r="B16" s="15">
        <v>2022</v>
      </c>
      <c r="C16" s="15" t="s">
        <v>36</v>
      </c>
      <c r="D16" s="26">
        <v>150.19999999999999</v>
      </c>
      <c r="E16" s="15">
        <v>208</v>
      </c>
      <c r="F16" s="15">
        <v>167.9</v>
      </c>
      <c r="G16" s="15">
        <v>162</v>
      </c>
      <c r="H16" s="15">
        <v>203.1</v>
      </c>
      <c r="I16" s="15">
        <v>155.9</v>
      </c>
      <c r="J16" s="15">
        <v>155.80000000000001</v>
      </c>
      <c r="K16" s="15">
        <v>164.2</v>
      </c>
      <c r="L16" s="15">
        <v>118.1</v>
      </c>
      <c r="M16" s="15">
        <v>178.7</v>
      </c>
      <c r="N16" s="15">
        <v>171.2</v>
      </c>
      <c r="O16" s="15">
        <v>177.4</v>
      </c>
      <c r="P16" s="15">
        <v>166.6</v>
      </c>
      <c r="Q16" s="15">
        <v>192.3</v>
      </c>
      <c r="R16" s="15">
        <v>175.4</v>
      </c>
      <c r="S16" s="15">
        <v>173.2</v>
      </c>
      <c r="T16" s="15">
        <v>175.1</v>
      </c>
      <c r="U16" s="15" t="s">
        <v>32</v>
      </c>
      <c r="V16" s="15">
        <v>168.9</v>
      </c>
      <c r="W16" s="15">
        <v>166.5</v>
      </c>
      <c r="X16" s="15">
        <v>176</v>
      </c>
      <c r="Y16" s="15">
        <v>162</v>
      </c>
      <c r="Z16" s="15">
        <v>166.6</v>
      </c>
      <c r="AA16" s="15">
        <v>170.6</v>
      </c>
      <c r="AB16" s="15">
        <v>167.4</v>
      </c>
      <c r="AC16" s="15">
        <v>168.3</v>
      </c>
    </row>
    <row r="17" spans="1:29" x14ac:dyDescent="0.35">
      <c r="A17" s="15" t="s">
        <v>30</v>
      </c>
      <c r="B17" s="15">
        <v>2022</v>
      </c>
      <c r="C17" s="15" t="s">
        <v>37</v>
      </c>
      <c r="D17" s="26">
        <v>151.80000000000001</v>
      </c>
      <c r="E17" s="15">
        <v>209.7</v>
      </c>
      <c r="F17" s="15">
        <v>164.5</v>
      </c>
      <c r="G17" s="15">
        <v>163.80000000000001</v>
      </c>
      <c r="H17" s="15">
        <v>207.4</v>
      </c>
      <c r="I17" s="15">
        <v>169.7</v>
      </c>
      <c r="J17" s="15">
        <v>153.6</v>
      </c>
      <c r="K17" s="15">
        <v>165.1</v>
      </c>
      <c r="L17" s="15">
        <v>118.2</v>
      </c>
      <c r="M17" s="15">
        <v>182.9</v>
      </c>
      <c r="N17" s="15">
        <v>172.4</v>
      </c>
      <c r="O17" s="15">
        <v>178.9</v>
      </c>
      <c r="P17" s="15">
        <v>168.6</v>
      </c>
      <c r="Q17" s="15">
        <v>192.8</v>
      </c>
      <c r="R17" s="15">
        <v>177.5</v>
      </c>
      <c r="S17" s="15">
        <v>175.1</v>
      </c>
      <c r="T17" s="15">
        <v>177.1</v>
      </c>
      <c r="U17" s="15" t="s">
        <v>32</v>
      </c>
      <c r="V17" s="15">
        <v>173.3</v>
      </c>
      <c r="W17" s="15">
        <v>167.7</v>
      </c>
      <c r="X17" s="15">
        <v>177</v>
      </c>
      <c r="Y17" s="15">
        <v>166.2</v>
      </c>
      <c r="Z17" s="15">
        <v>167.2</v>
      </c>
      <c r="AA17" s="15">
        <v>170.9</v>
      </c>
      <c r="AB17" s="15">
        <v>169</v>
      </c>
      <c r="AC17" s="15">
        <v>170.2</v>
      </c>
    </row>
    <row r="18" spans="1:29" x14ac:dyDescent="0.35">
      <c r="A18" s="15" t="s">
        <v>30</v>
      </c>
      <c r="B18" s="15">
        <v>2022</v>
      </c>
      <c r="C18" s="15" t="s">
        <v>38</v>
      </c>
      <c r="D18" s="26">
        <v>152.9</v>
      </c>
      <c r="E18" s="15">
        <v>214.7</v>
      </c>
      <c r="F18" s="15">
        <v>161.4</v>
      </c>
      <c r="G18" s="15">
        <v>164.6</v>
      </c>
      <c r="H18" s="15">
        <v>209.9</v>
      </c>
      <c r="I18" s="15">
        <v>168</v>
      </c>
      <c r="J18" s="15">
        <v>160.4</v>
      </c>
      <c r="K18" s="15">
        <v>165</v>
      </c>
      <c r="L18" s="15">
        <v>118.9</v>
      </c>
      <c r="M18" s="15">
        <v>186.6</v>
      </c>
      <c r="N18" s="15">
        <v>173.2</v>
      </c>
      <c r="O18" s="15">
        <v>180.4</v>
      </c>
      <c r="P18" s="15">
        <v>170.8</v>
      </c>
      <c r="Q18" s="15">
        <v>192.9</v>
      </c>
      <c r="R18" s="15">
        <v>179.3</v>
      </c>
      <c r="S18" s="15">
        <v>177.2</v>
      </c>
      <c r="T18" s="15">
        <v>179</v>
      </c>
      <c r="U18" s="15" t="s">
        <v>32</v>
      </c>
      <c r="V18" s="15">
        <v>175.3</v>
      </c>
      <c r="W18" s="15">
        <v>168.9</v>
      </c>
      <c r="X18" s="15">
        <v>177.7</v>
      </c>
      <c r="Y18" s="15">
        <v>167.1</v>
      </c>
      <c r="Z18" s="15">
        <v>167.6</v>
      </c>
      <c r="AA18" s="15">
        <v>171.8</v>
      </c>
      <c r="AB18" s="15">
        <v>168.5</v>
      </c>
      <c r="AC18" s="15">
        <v>170.9</v>
      </c>
    </row>
    <row r="19" spans="1:29" x14ac:dyDescent="0.35">
      <c r="A19" s="15" t="s">
        <v>30</v>
      </c>
      <c r="B19" s="15">
        <v>2022</v>
      </c>
      <c r="C19" s="15" t="s">
        <v>39</v>
      </c>
      <c r="D19" s="26">
        <v>153.80000000000001</v>
      </c>
      <c r="E19" s="15">
        <v>217.2</v>
      </c>
      <c r="F19" s="15">
        <v>169.6</v>
      </c>
      <c r="G19" s="15">
        <v>165.4</v>
      </c>
      <c r="H19" s="15">
        <v>208.1</v>
      </c>
      <c r="I19" s="15">
        <v>165.8</v>
      </c>
      <c r="J19" s="15">
        <v>167.3</v>
      </c>
      <c r="K19" s="15">
        <v>164.6</v>
      </c>
      <c r="L19" s="15">
        <v>119.1</v>
      </c>
      <c r="M19" s="15">
        <v>188.9</v>
      </c>
      <c r="N19" s="15">
        <v>174.2</v>
      </c>
      <c r="O19" s="15">
        <v>181.9</v>
      </c>
      <c r="P19" s="15">
        <v>172.4</v>
      </c>
      <c r="Q19" s="15">
        <v>192.9</v>
      </c>
      <c r="R19" s="15">
        <v>180.7</v>
      </c>
      <c r="S19" s="15">
        <v>178.7</v>
      </c>
      <c r="T19" s="15">
        <v>180.4</v>
      </c>
      <c r="U19" s="15" t="s">
        <v>32</v>
      </c>
      <c r="V19" s="15">
        <v>176.7</v>
      </c>
      <c r="W19" s="15">
        <v>170.3</v>
      </c>
      <c r="X19" s="15">
        <v>178.2</v>
      </c>
      <c r="Y19" s="15">
        <v>165.5</v>
      </c>
      <c r="Z19" s="15">
        <v>168</v>
      </c>
      <c r="AA19" s="15">
        <v>172.6</v>
      </c>
      <c r="AB19" s="15">
        <v>169.5</v>
      </c>
      <c r="AC19" s="15">
        <v>171</v>
      </c>
    </row>
    <row r="20" spans="1:29" x14ac:dyDescent="0.35">
      <c r="A20" s="15" t="s">
        <v>30</v>
      </c>
      <c r="B20" s="15">
        <v>2022</v>
      </c>
      <c r="C20" s="15" t="s">
        <v>40</v>
      </c>
      <c r="D20" s="26">
        <v>155.19999999999999</v>
      </c>
      <c r="E20" s="15">
        <v>210.8</v>
      </c>
      <c r="F20" s="15">
        <v>174.3</v>
      </c>
      <c r="G20" s="15">
        <v>166.3</v>
      </c>
      <c r="H20" s="15">
        <v>202.2</v>
      </c>
      <c r="I20" s="15">
        <v>169.6</v>
      </c>
      <c r="J20" s="15">
        <v>168.6</v>
      </c>
      <c r="K20" s="15">
        <v>164.4</v>
      </c>
      <c r="L20" s="15">
        <v>119.2</v>
      </c>
      <c r="M20" s="15">
        <v>191.8</v>
      </c>
      <c r="N20" s="15">
        <v>174.5</v>
      </c>
      <c r="O20" s="15">
        <v>183.1</v>
      </c>
      <c r="P20" s="15">
        <v>172.5</v>
      </c>
      <c r="Q20" s="15">
        <v>193.2</v>
      </c>
      <c r="R20" s="15">
        <v>182</v>
      </c>
      <c r="S20" s="15">
        <v>180.3</v>
      </c>
      <c r="T20" s="15">
        <v>181.7</v>
      </c>
      <c r="U20" s="15" t="s">
        <v>32</v>
      </c>
      <c r="V20" s="15">
        <v>179.6</v>
      </c>
      <c r="W20" s="15">
        <v>171.3</v>
      </c>
      <c r="X20" s="15">
        <v>178.8</v>
      </c>
      <c r="Y20" s="15">
        <v>166.3</v>
      </c>
      <c r="Z20" s="15">
        <v>168.6</v>
      </c>
      <c r="AA20" s="15">
        <v>174.7</v>
      </c>
      <c r="AB20" s="15">
        <v>169.7</v>
      </c>
      <c r="AC20" s="15">
        <v>171.8</v>
      </c>
    </row>
    <row r="21" spans="1:29" x14ac:dyDescent="0.35">
      <c r="A21" s="15" t="s">
        <v>30</v>
      </c>
      <c r="B21" s="15">
        <v>2022</v>
      </c>
      <c r="C21" s="15" t="s">
        <v>41</v>
      </c>
      <c r="D21" s="26">
        <v>159.5</v>
      </c>
      <c r="E21" s="15">
        <v>204.1</v>
      </c>
      <c r="F21" s="15">
        <v>168.3</v>
      </c>
      <c r="G21" s="15">
        <v>167.9</v>
      </c>
      <c r="H21" s="15">
        <v>198.1</v>
      </c>
      <c r="I21" s="15">
        <v>169.2</v>
      </c>
      <c r="J21" s="15">
        <v>173.1</v>
      </c>
      <c r="K21" s="15">
        <v>167.1</v>
      </c>
      <c r="L21" s="15">
        <v>120.2</v>
      </c>
      <c r="M21" s="15">
        <v>195.6</v>
      </c>
      <c r="N21" s="15">
        <v>174.8</v>
      </c>
      <c r="O21" s="15">
        <v>184</v>
      </c>
      <c r="P21" s="15">
        <v>173.9</v>
      </c>
      <c r="Q21" s="15">
        <v>193.7</v>
      </c>
      <c r="R21" s="15">
        <v>183.2</v>
      </c>
      <c r="S21" s="15">
        <v>181.7</v>
      </c>
      <c r="T21" s="15">
        <v>183</v>
      </c>
      <c r="U21" s="15" t="s">
        <v>32</v>
      </c>
      <c r="V21" s="15">
        <v>179.1</v>
      </c>
      <c r="W21" s="15">
        <v>172.3</v>
      </c>
      <c r="X21" s="15">
        <v>179.4</v>
      </c>
      <c r="Y21" s="15">
        <v>166.6</v>
      </c>
      <c r="Z21" s="15">
        <v>169.3</v>
      </c>
      <c r="AA21" s="15">
        <v>175.7</v>
      </c>
      <c r="AB21" s="15">
        <v>171.1</v>
      </c>
      <c r="AC21" s="15">
        <v>172.6</v>
      </c>
    </row>
    <row r="22" spans="1:29" x14ac:dyDescent="0.35">
      <c r="A22" s="15" t="s">
        <v>30</v>
      </c>
      <c r="B22" s="15">
        <v>2022</v>
      </c>
      <c r="C22" s="15" t="s">
        <v>42</v>
      </c>
      <c r="D22" s="26">
        <v>162.9</v>
      </c>
      <c r="E22" s="15">
        <v>206.7</v>
      </c>
      <c r="F22" s="15">
        <v>169</v>
      </c>
      <c r="G22" s="15">
        <v>169.5</v>
      </c>
      <c r="H22" s="15">
        <v>194.1</v>
      </c>
      <c r="I22" s="15">
        <v>164.1</v>
      </c>
      <c r="J22" s="15">
        <v>176.9</v>
      </c>
      <c r="K22" s="15">
        <v>169</v>
      </c>
      <c r="L22" s="15">
        <v>120.8</v>
      </c>
      <c r="M22" s="15">
        <v>199.1</v>
      </c>
      <c r="N22" s="15">
        <v>175.4</v>
      </c>
      <c r="O22" s="15">
        <v>184.8</v>
      </c>
      <c r="P22" s="15">
        <v>175.5</v>
      </c>
      <c r="Q22" s="15">
        <v>194.5</v>
      </c>
      <c r="R22" s="15">
        <v>184.7</v>
      </c>
      <c r="S22" s="15">
        <v>183.3</v>
      </c>
      <c r="T22" s="15">
        <v>184.5</v>
      </c>
      <c r="U22" s="15" t="s">
        <v>32</v>
      </c>
      <c r="V22" s="15">
        <v>179.7</v>
      </c>
      <c r="W22" s="15">
        <v>173.6</v>
      </c>
      <c r="X22" s="15">
        <v>180.2</v>
      </c>
      <c r="Y22" s="15">
        <v>166.9</v>
      </c>
      <c r="Z22" s="15">
        <v>170</v>
      </c>
      <c r="AA22" s="15">
        <v>176.2</v>
      </c>
      <c r="AB22" s="15">
        <v>170.8</v>
      </c>
      <c r="AC22" s="15">
        <v>173.1</v>
      </c>
    </row>
    <row r="23" spans="1:29" x14ac:dyDescent="0.35">
      <c r="A23" s="15" t="s">
        <v>30</v>
      </c>
      <c r="B23" s="15">
        <v>2022</v>
      </c>
      <c r="C23" s="15" t="s">
        <v>43</v>
      </c>
      <c r="D23" s="26">
        <v>164.7</v>
      </c>
      <c r="E23" s="15">
        <v>208.8</v>
      </c>
      <c r="F23" s="15">
        <v>170.3</v>
      </c>
      <c r="G23" s="15">
        <v>170.9</v>
      </c>
      <c r="H23" s="15">
        <v>191.6</v>
      </c>
      <c r="I23" s="15">
        <v>162.19999999999999</v>
      </c>
      <c r="J23" s="15">
        <v>184.8</v>
      </c>
      <c r="K23" s="15">
        <v>169.7</v>
      </c>
      <c r="L23" s="15">
        <v>121.1</v>
      </c>
      <c r="M23" s="15">
        <v>201.6</v>
      </c>
      <c r="N23" s="15">
        <v>175.8</v>
      </c>
      <c r="O23" s="15">
        <v>185.6</v>
      </c>
      <c r="P23" s="15">
        <v>177.4</v>
      </c>
      <c r="Q23" s="15">
        <v>194.9</v>
      </c>
      <c r="R23" s="15">
        <v>186.1</v>
      </c>
      <c r="S23" s="15">
        <v>184.4</v>
      </c>
      <c r="T23" s="15">
        <v>185.9</v>
      </c>
      <c r="U23" s="15" t="s">
        <v>32</v>
      </c>
      <c r="V23" s="15">
        <v>180.8</v>
      </c>
      <c r="W23" s="15">
        <v>174.4</v>
      </c>
      <c r="X23" s="15">
        <v>181.2</v>
      </c>
      <c r="Y23" s="15">
        <v>167.4</v>
      </c>
      <c r="Z23" s="15">
        <v>170.6</v>
      </c>
      <c r="AA23" s="15">
        <v>176.5</v>
      </c>
      <c r="AB23" s="15">
        <v>172</v>
      </c>
      <c r="AC23" s="15">
        <v>173.9</v>
      </c>
    </row>
    <row r="24" spans="1:29" x14ac:dyDescent="0.35">
      <c r="A24" s="15" t="s">
        <v>30</v>
      </c>
      <c r="B24" s="15">
        <v>2022</v>
      </c>
      <c r="C24" s="15" t="s">
        <v>45</v>
      </c>
      <c r="D24" s="26">
        <v>166.9</v>
      </c>
      <c r="E24" s="15">
        <v>207.2</v>
      </c>
      <c r="F24" s="15">
        <v>180.2</v>
      </c>
      <c r="G24" s="15">
        <v>172.3</v>
      </c>
      <c r="H24" s="15">
        <v>194</v>
      </c>
      <c r="I24" s="15">
        <v>159.1</v>
      </c>
      <c r="J24" s="15">
        <v>171.6</v>
      </c>
      <c r="K24" s="15">
        <v>170.2</v>
      </c>
      <c r="L24" s="15">
        <v>121.5</v>
      </c>
      <c r="M24" s="15">
        <v>204.8</v>
      </c>
      <c r="N24" s="15">
        <v>176.4</v>
      </c>
      <c r="O24" s="15">
        <v>186.9</v>
      </c>
      <c r="P24" s="15">
        <v>176.6</v>
      </c>
      <c r="Q24" s="15">
        <v>195.5</v>
      </c>
      <c r="R24" s="15">
        <v>187.2</v>
      </c>
      <c r="S24" s="15">
        <v>185.2</v>
      </c>
      <c r="T24" s="15">
        <v>186.9</v>
      </c>
      <c r="U24" s="15" t="s">
        <v>32</v>
      </c>
      <c r="V24" s="15">
        <v>181.9</v>
      </c>
      <c r="W24" s="15">
        <v>175.5</v>
      </c>
      <c r="X24" s="15">
        <v>182.3</v>
      </c>
      <c r="Y24" s="15">
        <v>167.5</v>
      </c>
      <c r="Z24" s="15">
        <v>170.8</v>
      </c>
      <c r="AA24" s="15">
        <v>176.9</v>
      </c>
      <c r="AB24" s="15">
        <v>173.4</v>
      </c>
      <c r="AC24" s="15">
        <v>174.6</v>
      </c>
    </row>
    <row r="25" spans="1:29" x14ac:dyDescent="0.35">
      <c r="A25" s="15" t="s">
        <v>30</v>
      </c>
      <c r="B25" s="15">
        <v>2022</v>
      </c>
      <c r="C25" s="15" t="s">
        <v>46</v>
      </c>
      <c r="D25" s="26">
        <v>168.8</v>
      </c>
      <c r="E25" s="15">
        <v>206.9</v>
      </c>
      <c r="F25" s="15">
        <v>189.1</v>
      </c>
      <c r="G25" s="15">
        <v>173.4</v>
      </c>
      <c r="H25" s="15">
        <v>193.9</v>
      </c>
      <c r="I25" s="15">
        <v>156.69999999999999</v>
      </c>
      <c r="J25" s="15">
        <v>150.19999999999999</v>
      </c>
      <c r="K25" s="15">
        <v>170.5</v>
      </c>
      <c r="L25" s="15">
        <v>121.2</v>
      </c>
      <c r="M25" s="15">
        <v>207.5</v>
      </c>
      <c r="N25" s="15">
        <v>176.8</v>
      </c>
      <c r="O25" s="15">
        <v>187.7</v>
      </c>
      <c r="P25" s="15">
        <v>174.4</v>
      </c>
      <c r="Q25" s="15">
        <v>195.9</v>
      </c>
      <c r="R25" s="15">
        <v>188.1</v>
      </c>
      <c r="S25" s="15">
        <v>185.9</v>
      </c>
      <c r="T25" s="15">
        <v>187.8</v>
      </c>
      <c r="U25" s="15" t="s">
        <v>32</v>
      </c>
      <c r="V25" s="15">
        <v>182.8</v>
      </c>
      <c r="W25" s="15">
        <v>176.4</v>
      </c>
      <c r="X25" s="15">
        <v>183.5</v>
      </c>
      <c r="Y25" s="15">
        <v>167.8</v>
      </c>
      <c r="Z25" s="15">
        <v>171.2</v>
      </c>
      <c r="AA25" s="15">
        <v>177.3</v>
      </c>
      <c r="AB25" s="15">
        <v>175.7</v>
      </c>
      <c r="AC25" s="15">
        <v>175.5</v>
      </c>
    </row>
    <row r="26" spans="1:29" x14ac:dyDescent="0.35">
      <c r="A26" s="15" t="s">
        <v>30</v>
      </c>
      <c r="B26" s="15">
        <v>2023</v>
      </c>
      <c r="C26" s="15" t="s">
        <v>31</v>
      </c>
      <c r="D26" s="26">
        <v>174</v>
      </c>
      <c r="E26" s="15">
        <v>208.3</v>
      </c>
      <c r="F26" s="15">
        <v>192.9</v>
      </c>
      <c r="G26" s="15">
        <v>174.3</v>
      </c>
      <c r="H26" s="15">
        <v>192.6</v>
      </c>
      <c r="I26" s="15">
        <v>156.30000000000001</v>
      </c>
      <c r="J26" s="15">
        <v>142.9</v>
      </c>
      <c r="K26" s="15">
        <v>170.7</v>
      </c>
      <c r="L26" s="15">
        <v>120.3</v>
      </c>
      <c r="M26" s="15">
        <v>210.5</v>
      </c>
      <c r="N26" s="15">
        <v>176.9</v>
      </c>
      <c r="O26" s="15">
        <v>188.5</v>
      </c>
      <c r="P26" s="15">
        <v>175</v>
      </c>
      <c r="Q26" s="15">
        <v>196.9</v>
      </c>
      <c r="R26" s="15">
        <v>189</v>
      </c>
      <c r="S26" s="15">
        <v>186.3</v>
      </c>
      <c r="T26" s="15">
        <v>188.6</v>
      </c>
      <c r="U26" s="15" t="s">
        <v>32</v>
      </c>
      <c r="V26" s="15">
        <v>183.2</v>
      </c>
      <c r="W26" s="15">
        <v>177.2</v>
      </c>
      <c r="X26" s="15">
        <v>184.7</v>
      </c>
      <c r="Y26" s="15">
        <v>168.2</v>
      </c>
      <c r="Z26" s="15">
        <v>171.8</v>
      </c>
      <c r="AA26" s="15">
        <v>177.8</v>
      </c>
      <c r="AB26" s="15">
        <v>178.4</v>
      </c>
      <c r="AC26" s="15">
        <v>176.5</v>
      </c>
    </row>
    <row r="27" spans="1:29" x14ac:dyDescent="0.35">
      <c r="A27" s="15" t="s">
        <v>30</v>
      </c>
      <c r="B27" s="15">
        <v>2023</v>
      </c>
      <c r="C27" s="15" t="s">
        <v>35</v>
      </c>
      <c r="D27" s="26">
        <v>174.2</v>
      </c>
      <c r="E27" s="15">
        <v>205.2</v>
      </c>
      <c r="F27" s="15">
        <v>173.9</v>
      </c>
      <c r="G27" s="15">
        <v>177</v>
      </c>
      <c r="H27" s="15">
        <v>183.4</v>
      </c>
      <c r="I27" s="15">
        <v>167.2</v>
      </c>
      <c r="J27" s="15">
        <v>140.9</v>
      </c>
      <c r="K27" s="15">
        <v>170.4</v>
      </c>
      <c r="L27" s="15">
        <v>119.1</v>
      </c>
      <c r="M27" s="15">
        <v>212.1</v>
      </c>
      <c r="N27" s="15">
        <v>177.6</v>
      </c>
      <c r="O27" s="15">
        <v>189.9</v>
      </c>
      <c r="P27" s="15">
        <v>174.8</v>
      </c>
      <c r="Q27" s="15">
        <v>198.3</v>
      </c>
      <c r="R27" s="15">
        <v>190</v>
      </c>
      <c r="S27" s="15">
        <v>187</v>
      </c>
      <c r="T27" s="15">
        <v>189.6</v>
      </c>
      <c r="U27" s="15" t="s">
        <v>32</v>
      </c>
      <c r="V27" s="15">
        <v>181.6</v>
      </c>
      <c r="W27" s="15">
        <v>178.6</v>
      </c>
      <c r="X27" s="15">
        <v>186.6</v>
      </c>
      <c r="Y27" s="15">
        <v>169</v>
      </c>
      <c r="Z27" s="15">
        <v>172.8</v>
      </c>
      <c r="AA27" s="15">
        <v>178.5</v>
      </c>
      <c r="AB27" s="15">
        <v>180.7</v>
      </c>
      <c r="AC27" s="15">
        <v>177.9</v>
      </c>
    </row>
    <row r="28" spans="1:29" x14ac:dyDescent="0.35">
      <c r="A28" s="15" t="s">
        <v>30</v>
      </c>
      <c r="B28" s="15">
        <v>2023</v>
      </c>
      <c r="C28" s="15" t="s">
        <v>36</v>
      </c>
      <c r="D28" s="26">
        <v>174.3</v>
      </c>
      <c r="E28" s="15">
        <v>205.2</v>
      </c>
      <c r="F28" s="15">
        <v>173.9</v>
      </c>
      <c r="G28" s="15">
        <v>177</v>
      </c>
      <c r="H28" s="15">
        <v>183.3</v>
      </c>
      <c r="I28" s="15">
        <v>167.2</v>
      </c>
      <c r="J28" s="15">
        <v>140.9</v>
      </c>
      <c r="K28" s="15">
        <v>170.5</v>
      </c>
      <c r="L28" s="15">
        <v>119.1</v>
      </c>
      <c r="M28" s="15">
        <v>212.1</v>
      </c>
      <c r="N28" s="15">
        <v>177.6</v>
      </c>
      <c r="O28" s="15">
        <v>189.9</v>
      </c>
      <c r="P28" s="15">
        <v>174.8</v>
      </c>
      <c r="Q28" s="15">
        <v>198.4</v>
      </c>
      <c r="R28" s="15">
        <v>190</v>
      </c>
      <c r="S28" s="15">
        <v>187</v>
      </c>
      <c r="T28" s="15">
        <v>189.6</v>
      </c>
      <c r="U28" s="15" t="s">
        <v>32</v>
      </c>
      <c r="V28" s="15">
        <v>181.4</v>
      </c>
      <c r="W28" s="15">
        <v>178.6</v>
      </c>
      <c r="X28" s="15">
        <v>186.6</v>
      </c>
      <c r="Y28" s="15">
        <v>169</v>
      </c>
      <c r="Z28" s="15">
        <v>172.8</v>
      </c>
      <c r="AA28" s="15">
        <v>178.5</v>
      </c>
      <c r="AB28" s="15">
        <v>180.7</v>
      </c>
      <c r="AC28" s="15">
        <v>177.9</v>
      </c>
    </row>
    <row r="29" spans="1:29" x14ac:dyDescent="0.35">
      <c r="A29" s="15" t="s">
        <v>30</v>
      </c>
      <c r="B29" s="15">
        <v>2023</v>
      </c>
      <c r="C29" s="15" t="s">
        <v>37</v>
      </c>
      <c r="D29" s="26">
        <v>173.3</v>
      </c>
      <c r="E29" s="15">
        <v>206.9</v>
      </c>
      <c r="F29" s="15">
        <v>167.9</v>
      </c>
      <c r="G29" s="15">
        <v>178.2</v>
      </c>
      <c r="H29" s="15">
        <v>178.5</v>
      </c>
      <c r="I29" s="15">
        <v>173.7</v>
      </c>
      <c r="J29" s="15">
        <v>142.80000000000001</v>
      </c>
      <c r="K29" s="15">
        <v>172.8</v>
      </c>
      <c r="L29" s="15">
        <v>120.4</v>
      </c>
      <c r="M29" s="15">
        <v>215.5</v>
      </c>
      <c r="N29" s="15">
        <v>178.2</v>
      </c>
      <c r="O29" s="15">
        <v>190.5</v>
      </c>
      <c r="P29" s="15">
        <v>175.5</v>
      </c>
      <c r="Q29" s="15">
        <v>199.5</v>
      </c>
      <c r="R29" s="15">
        <v>190.7</v>
      </c>
      <c r="S29" s="15">
        <v>187.3</v>
      </c>
      <c r="T29" s="15">
        <v>190.2</v>
      </c>
      <c r="U29" s="15" t="s">
        <v>32</v>
      </c>
      <c r="V29" s="15">
        <v>181.5</v>
      </c>
      <c r="W29" s="15">
        <v>179.1</v>
      </c>
      <c r="X29" s="15">
        <v>187.2</v>
      </c>
      <c r="Y29" s="15">
        <v>169.4</v>
      </c>
      <c r="Z29" s="15">
        <v>173.2</v>
      </c>
      <c r="AA29" s="15">
        <v>179.4</v>
      </c>
      <c r="AB29" s="15">
        <v>183.8</v>
      </c>
      <c r="AC29" s="15">
        <v>178.9</v>
      </c>
    </row>
    <row r="30" spans="1:29" x14ac:dyDescent="0.35">
      <c r="A30" s="15" t="s">
        <v>30</v>
      </c>
      <c r="B30" s="15">
        <v>2023</v>
      </c>
      <c r="C30" s="15" t="s">
        <v>38</v>
      </c>
      <c r="D30" s="26">
        <v>173.2</v>
      </c>
      <c r="E30" s="15">
        <v>211.5</v>
      </c>
      <c r="F30" s="15">
        <v>171</v>
      </c>
      <c r="G30" s="15">
        <v>179.6</v>
      </c>
      <c r="H30" s="15">
        <v>173.3</v>
      </c>
      <c r="I30" s="15">
        <v>169</v>
      </c>
      <c r="J30" s="15">
        <v>148.69999999999999</v>
      </c>
      <c r="K30" s="15">
        <v>174.9</v>
      </c>
      <c r="L30" s="15">
        <v>121.9</v>
      </c>
      <c r="M30" s="15">
        <v>221</v>
      </c>
      <c r="N30" s="15">
        <v>178.7</v>
      </c>
      <c r="O30" s="15">
        <v>191.1</v>
      </c>
      <c r="P30" s="15">
        <v>176.8</v>
      </c>
      <c r="Q30" s="15">
        <v>199.9</v>
      </c>
      <c r="R30" s="15">
        <v>191.2</v>
      </c>
      <c r="S30" s="15">
        <v>187.9</v>
      </c>
      <c r="T30" s="15">
        <v>190.8</v>
      </c>
      <c r="U30" s="15" t="s">
        <v>32</v>
      </c>
      <c r="V30" s="15">
        <v>182.5</v>
      </c>
      <c r="W30" s="15">
        <v>179.8</v>
      </c>
      <c r="X30" s="15">
        <v>187.8</v>
      </c>
      <c r="Y30" s="15">
        <v>169.7</v>
      </c>
      <c r="Z30" s="15">
        <v>173.8</v>
      </c>
      <c r="AA30" s="15">
        <v>180.3</v>
      </c>
      <c r="AB30" s="15">
        <v>184.9</v>
      </c>
      <c r="AC30" s="15">
        <v>179.5</v>
      </c>
    </row>
    <row r="31" spans="1:29" x14ac:dyDescent="0.35">
      <c r="A31" s="49"/>
      <c r="B31" s="49"/>
      <c r="C31" s="49"/>
      <c r="D31" s="53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x14ac:dyDescent="0.35">
      <c r="A32" s="49"/>
      <c r="B32" s="49"/>
      <c r="C32" s="49"/>
      <c r="D32" s="53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x14ac:dyDescent="0.35">
      <c r="A33" s="55" t="s">
        <v>144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</row>
    <row r="34" spans="1:29" x14ac:dyDescent="0.35">
      <c r="A34" s="15" t="s">
        <v>0</v>
      </c>
      <c r="B34" s="15" t="s">
        <v>1</v>
      </c>
      <c r="C34" s="15" t="s">
        <v>2</v>
      </c>
      <c r="D34" s="15" t="s">
        <v>3</v>
      </c>
      <c r="E34" s="15" t="s">
        <v>4</v>
      </c>
      <c r="F34" s="15" t="s">
        <v>5</v>
      </c>
      <c r="G34" s="15" t="s">
        <v>6</v>
      </c>
      <c r="H34" s="15" t="s">
        <v>7</v>
      </c>
      <c r="I34" s="15" t="s">
        <v>8</v>
      </c>
      <c r="J34" s="15" t="s">
        <v>9</v>
      </c>
      <c r="K34" s="15" t="s">
        <v>10</v>
      </c>
      <c r="L34" s="15" t="s">
        <v>11</v>
      </c>
      <c r="M34" s="15" t="s">
        <v>12</v>
      </c>
      <c r="N34" s="15" t="s">
        <v>13</v>
      </c>
      <c r="O34" s="15" t="s">
        <v>74</v>
      </c>
      <c r="P34" s="15" t="s">
        <v>15</v>
      </c>
      <c r="Q34" s="15" t="s">
        <v>73</v>
      </c>
      <c r="R34" s="15" t="s">
        <v>17</v>
      </c>
      <c r="S34" s="15" t="s">
        <v>18</v>
      </c>
      <c r="T34" s="15" t="s">
        <v>19</v>
      </c>
      <c r="U34" s="15" t="s">
        <v>20</v>
      </c>
      <c r="V34" s="15" t="s">
        <v>21</v>
      </c>
      <c r="W34" s="15" t="s">
        <v>22</v>
      </c>
      <c r="X34" s="15" t="s">
        <v>23</v>
      </c>
      <c r="Y34" s="15" t="s">
        <v>24</v>
      </c>
      <c r="Z34" s="15" t="s">
        <v>25</v>
      </c>
      <c r="AA34" s="15" t="s">
        <v>26</v>
      </c>
      <c r="AB34" s="15" t="s">
        <v>27</v>
      </c>
      <c r="AC34" s="15" t="s">
        <v>28</v>
      </c>
    </row>
    <row r="35" spans="1:29" x14ac:dyDescent="0.35">
      <c r="A35" s="10" t="s">
        <v>30</v>
      </c>
      <c r="B35" s="10">
        <v>2021</v>
      </c>
      <c r="C35" s="10" t="s">
        <v>37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x14ac:dyDescent="0.35">
      <c r="A36" s="15" t="s">
        <v>30</v>
      </c>
      <c r="B36" s="15">
        <v>2021</v>
      </c>
      <c r="C36" s="15" t="s">
        <v>38</v>
      </c>
      <c r="D36" s="9">
        <f>IFERROR((D6-D5)/D5,0)</f>
        <v>1.6818500350385464E-2</v>
      </c>
      <c r="E36" s="9">
        <f t="shared" ref="E36:AC36" si="0">IFERROR((E6-E5)/E5,0)</f>
        <v>1.5345268542199489E-2</v>
      </c>
      <c r="F36" s="9">
        <f t="shared" si="0"/>
        <v>3.1823745410036651E-2</v>
      </c>
      <c r="G36" s="9">
        <f t="shared" si="0"/>
        <v>5.1612903225807189E-3</v>
      </c>
      <c r="H36" s="9">
        <f t="shared" si="0"/>
        <v>5.2511415525114256E-2</v>
      </c>
      <c r="I36" s="9">
        <f t="shared" si="0"/>
        <v>1.0585305105853158E-2</v>
      </c>
      <c r="J36" s="9">
        <f t="shared" si="0"/>
        <v>2.4426350851221402E-2</v>
      </c>
      <c r="K36" s="9">
        <f t="shared" si="0"/>
        <v>2.4829298572315334E-2</v>
      </c>
      <c r="L36" s="9">
        <f t="shared" si="0"/>
        <v>1.8716577540106902E-2</v>
      </c>
      <c r="M36" s="9">
        <f t="shared" si="0"/>
        <v>3.2238442822384326E-2</v>
      </c>
      <c r="N36" s="9">
        <f t="shared" si="0"/>
        <v>1.6676961087090728E-2</v>
      </c>
      <c r="O36" s="9">
        <f t="shared" si="0"/>
        <v>1.7985611510791366E-2</v>
      </c>
      <c r="P36" s="9">
        <f t="shared" si="0"/>
        <v>1.9922879177377856E-2</v>
      </c>
      <c r="Q36" s="9">
        <f t="shared" si="0"/>
        <v>1.4989293361884277E-2</v>
      </c>
      <c r="R36" s="9">
        <f t="shared" si="0"/>
        <v>2.8624766645924227E-2</v>
      </c>
      <c r="S36" s="9">
        <f t="shared" si="0"/>
        <v>3.5460992907801421E-2</v>
      </c>
      <c r="T36" s="9">
        <f t="shared" si="0"/>
        <v>2.8767979987492146E-2</v>
      </c>
      <c r="U36" s="9">
        <f t="shared" si="0"/>
        <v>0</v>
      </c>
      <c r="V36" s="9">
        <f t="shared" si="0"/>
        <v>3.6538461538461464E-2</v>
      </c>
      <c r="W36" s="9">
        <f t="shared" si="0"/>
        <v>2.1221864951768563E-2</v>
      </c>
      <c r="X36" s="9">
        <f t="shared" si="0"/>
        <v>2.2988505747126332E-2</v>
      </c>
      <c r="Y36" s="9">
        <f t="shared" si="0"/>
        <v>9.8879367172050106E-3</v>
      </c>
      <c r="Z36" s="9">
        <f t="shared" si="0"/>
        <v>8.8272383354350923E-3</v>
      </c>
      <c r="AA36" s="9">
        <f t="shared" si="0"/>
        <v>2.132845825716027E-2</v>
      </c>
      <c r="AB36" s="9">
        <f t="shared" si="0"/>
        <v>3.0401034928848752E-2</v>
      </c>
      <c r="AC36" s="9">
        <f t="shared" si="0"/>
        <v>1.9620253164556924E-2</v>
      </c>
    </row>
    <row r="37" spans="1:29" x14ac:dyDescent="0.35">
      <c r="A37" s="15" t="s">
        <v>30</v>
      </c>
      <c r="B37" s="15">
        <v>2021</v>
      </c>
      <c r="C37" s="15" t="s">
        <v>39</v>
      </c>
      <c r="D37" s="9">
        <f t="shared" ref="D37:S60" si="1">IFERROR((D7-D6)/D6,0)</f>
        <v>3.4458993797381117E-3</v>
      </c>
      <c r="E37" s="9">
        <f t="shared" si="1"/>
        <v>8.0604534005037504E-3</v>
      </c>
      <c r="F37" s="9">
        <f t="shared" si="1"/>
        <v>6.34638196915778E-2</v>
      </c>
      <c r="G37" s="9">
        <f t="shared" si="1"/>
        <v>1.9255455712450765E-3</v>
      </c>
      <c r="H37" s="9">
        <f t="shared" si="1"/>
        <v>3.2537960954446853E-2</v>
      </c>
      <c r="I37" s="9">
        <f t="shared" si="1"/>
        <v>-2.2797288971041385E-2</v>
      </c>
      <c r="J37" s="9">
        <f t="shared" si="1"/>
        <v>4.5520231213872706E-2</v>
      </c>
      <c r="K37" s="9">
        <f t="shared" si="1"/>
        <v>2.422774076317418E-3</v>
      </c>
      <c r="L37" s="9">
        <f t="shared" si="1"/>
        <v>2.6246719160104739E-3</v>
      </c>
      <c r="M37" s="9">
        <f t="shared" si="1"/>
        <v>1.7678255745433788E-3</v>
      </c>
      <c r="N37" s="9">
        <f t="shared" si="1"/>
        <v>5.4678007290401322E-3</v>
      </c>
      <c r="O37" s="9">
        <f t="shared" si="1"/>
        <v>1.1189634864546391E-2</v>
      </c>
      <c r="P37" s="9">
        <f t="shared" si="1"/>
        <v>1.1342155009451868E-2</v>
      </c>
      <c r="Q37" s="9">
        <f t="shared" si="1"/>
        <v>-2.6371308016877636E-3</v>
      </c>
      <c r="R37" s="9">
        <f t="shared" si="1"/>
        <v>0</v>
      </c>
      <c r="S37" s="9">
        <f t="shared" si="1"/>
        <v>-4.3586550435864794E-3</v>
      </c>
      <c r="T37" s="9">
        <f t="shared" ref="T37:AC37" si="2">IFERROR((T7-T6)/T6,0)</f>
        <v>6.0790273556227549E-4</v>
      </c>
      <c r="U37" s="9">
        <f t="shared" si="2"/>
        <v>0</v>
      </c>
      <c r="V37" s="9">
        <f t="shared" si="2"/>
        <v>2.4737167594310805E-3</v>
      </c>
      <c r="W37" s="9">
        <f t="shared" si="2"/>
        <v>2.5188916876572875E-3</v>
      </c>
      <c r="X37" s="9">
        <f t="shared" si="2"/>
        <v>3.548196333530422E-3</v>
      </c>
      <c r="Y37" s="9">
        <f t="shared" si="2"/>
        <v>6.5274151436031337E-3</v>
      </c>
      <c r="Z37" s="9">
        <f t="shared" si="2"/>
        <v>2.5000000000000356E-3</v>
      </c>
      <c r="AA37" s="9">
        <f t="shared" si="2"/>
        <v>-4.7732696897373689E-3</v>
      </c>
      <c r="AB37" s="9">
        <f t="shared" si="2"/>
        <v>6.2774639045821913E-4</v>
      </c>
      <c r="AC37" s="9">
        <f t="shared" si="2"/>
        <v>2.4829298572315688E-3</v>
      </c>
    </row>
    <row r="38" spans="1:29" x14ac:dyDescent="0.35">
      <c r="A38" s="15" t="s">
        <v>30</v>
      </c>
      <c r="B38" s="15">
        <v>2021</v>
      </c>
      <c r="C38" s="15" t="s">
        <v>40</v>
      </c>
      <c r="D38" s="9">
        <f t="shared" si="1"/>
        <v>-3.434065934065934E-3</v>
      </c>
      <c r="E38" s="9">
        <f t="shared" si="1"/>
        <v>2.1989005497251402E-2</v>
      </c>
      <c r="F38" s="9">
        <f t="shared" si="1"/>
        <v>6.1349693251533423E-3</v>
      </c>
      <c r="G38" s="9">
        <f t="shared" si="1"/>
        <v>6.4061499039077515E-3</v>
      </c>
      <c r="H38" s="9">
        <f t="shared" si="1"/>
        <v>-8.9285714285715183E-3</v>
      </c>
      <c r="I38" s="9">
        <f t="shared" si="1"/>
        <v>-5.6746532156368582E-3</v>
      </c>
      <c r="J38" s="9">
        <f t="shared" si="1"/>
        <v>5.5977885279889589E-2</v>
      </c>
      <c r="K38" s="9">
        <f t="shared" si="1"/>
        <v>-1.1480362537764384E-2</v>
      </c>
      <c r="L38" s="9">
        <f t="shared" si="1"/>
        <v>-6.1082024432808782E-3</v>
      </c>
      <c r="M38" s="9">
        <f t="shared" si="1"/>
        <v>-1.764705882353008E-3</v>
      </c>
      <c r="N38" s="9">
        <f t="shared" si="1"/>
        <v>4.2296072507552185E-3</v>
      </c>
      <c r="O38" s="9">
        <f t="shared" si="1"/>
        <v>-4.0768782760628348E-3</v>
      </c>
      <c r="P38" s="9">
        <f t="shared" si="1"/>
        <v>7.4766355140186208E-3</v>
      </c>
      <c r="Q38" s="9">
        <f t="shared" si="1"/>
        <v>3.1729243786356126E-3</v>
      </c>
      <c r="R38" s="9">
        <f t="shared" si="1"/>
        <v>4.2347247428916428E-3</v>
      </c>
      <c r="S38" s="9">
        <f t="shared" si="1"/>
        <v>7.5046904315196287E-3</v>
      </c>
      <c r="T38" s="9">
        <f t="shared" ref="T38:AC38" si="3">IFERROR((T8-T7)/T7,0)</f>
        <v>4.2527339003646239E-3</v>
      </c>
      <c r="U38" s="9">
        <f t="shared" si="3"/>
        <v>0</v>
      </c>
      <c r="V38" s="9">
        <f t="shared" si="3"/>
        <v>2.4676125848242178E-3</v>
      </c>
      <c r="W38" s="9">
        <f t="shared" si="3"/>
        <v>6.9095477386936109E-3</v>
      </c>
      <c r="X38" s="9">
        <f t="shared" si="3"/>
        <v>4.1249263406011611E-3</v>
      </c>
      <c r="Y38" s="9">
        <f t="shared" si="3"/>
        <v>1.8806744487678377E-2</v>
      </c>
      <c r="Z38" s="9">
        <f t="shared" si="3"/>
        <v>1.8703241895260782E-3</v>
      </c>
      <c r="AA38" s="9">
        <f t="shared" si="3"/>
        <v>2.3980815347720459E-3</v>
      </c>
      <c r="AB38" s="9">
        <f t="shared" si="3"/>
        <v>6.2735257214554582E-3</v>
      </c>
      <c r="AC38" s="9">
        <f t="shared" si="3"/>
        <v>8.049535603715241E-3</v>
      </c>
    </row>
    <row r="39" spans="1:29" x14ac:dyDescent="0.35">
      <c r="A39" s="15" t="s">
        <v>30</v>
      </c>
      <c r="B39" s="15">
        <v>2021</v>
      </c>
      <c r="C39" s="15" t="s">
        <v>41</v>
      </c>
      <c r="D39" s="9">
        <f t="shared" si="1"/>
        <v>-1.3783597518951664E-3</v>
      </c>
      <c r="E39" s="9">
        <f t="shared" si="1"/>
        <v>-1.0757946210268893E-2</v>
      </c>
      <c r="F39" s="9">
        <f t="shared" si="1"/>
        <v>-2.1618625277161893E-2</v>
      </c>
      <c r="G39" s="9">
        <f t="shared" si="1"/>
        <v>2.5461489497135945E-3</v>
      </c>
      <c r="H39" s="9">
        <f t="shared" si="1"/>
        <v>1.1658717541070573E-2</v>
      </c>
      <c r="I39" s="9">
        <f t="shared" si="1"/>
        <v>-1.2682308180088777E-2</v>
      </c>
      <c r="J39" s="9">
        <f t="shared" si="1"/>
        <v>7.1989528795811143E-3</v>
      </c>
      <c r="K39" s="9">
        <f t="shared" si="1"/>
        <v>-4.8899755501221453E-3</v>
      </c>
      <c r="L39" s="9">
        <f t="shared" si="1"/>
        <v>1.1413520632133425E-2</v>
      </c>
      <c r="M39" s="9">
        <f t="shared" si="1"/>
        <v>5.8927519151457124E-4</v>
      </c>
      <c r="N39" s="9">
        <f t="shared" si="1"/>
        <v>8.4235860409145949E-3</v>
      </c>
      <c r="O39" s="9">
        <f t="shared" si="1"/>
        <v>5.2631578947368749E-3</v>
      </c>
      <c r="P39" s="9">
        <f t="shared" si="1"/>
        <v>6.1842918985790195E-4</v>
      </c>
      <c r="Q39" s="9">
        <f t="shared" si="1"/>
        <v>2.635740643120717E-3</v>
      </c>
      <c r="R39" s="9">
        <f t="shared" si="1"/>
        <v>6.024096385542169E-3</v>
      </c>
      <c r="S39" s="9">
        <f t="shared" si="1"/>
        <v>9.3109869646182501E-3</v>
      </c>
      <c r="T39" s="9">
        <f t="shared" ref="T39:AC39" si="4">IFERROR((T9-T8)/T8,0)</f>
        <v>6.0496067755595878E-3</v>
      </c>
      <c r="U39" s="9">
        <f t="shared" si="4"/>
        <v>0</v>
      </c>
      <c r="V39" s="9">
        <f t="shared" si="4"/>
        <v>3.6923076923076575E-3</v>
      </c>
      <c r="W39" s="9">
        <f t="shared" si="4"/>
        <v>3.742981908920738E-3</v>
      </c>
      <c r="X39" s="9">
        <f t="shared" si="4"/>
        <v>4.1079812206572105E-3</v>
      </c>
      <c r="Y39" s="9">
        <f t="shared" si="4"/>
        <v>3.8192234245703013E-3</v>
      </c>
      <c r="Z39" s="9">
        <f t="shared" si="4"/>
        <v>2.4891101431238688E-3</v>
      </c>
      <c r="AA39" s="9">
        <f t="shared" si="4"/>
        <v>1.7942583732058098E-3</v>
      </c>
      <c r="AB39" s="9">
        <f t="shared" si="4"/>
        <v>-6.2344139650869271E-4</v>
      </c>
      <c r="AC39" s="9">
        <f t="shared" si="4"/>
        <v>3.0712530712530711E-3</v>
      </c>
    </row>
    <row r="40" spans="1:29" x14ac:dyDescent="0.35">
      <c r="A40" s="15" t="s">
        <v>30</v>
      </c>
      <c r="B40" s="15">
        <v>2021</v>
      </c>
      <c r="C40" s="15" t="s">
        <v>42</v>
      </c>
      <c r="D40" s="9">
        <f t="shared" si="1"/>
        <v>3.450655624568668E-3</v>
      </c>
      <c r="E40" s="9">
        <f t="shared" si="1"/>
        <v>-9.886307464162978E-4</v>
      </c>
      <c r="F40" s="9">
        <f t="shared" si="1"/>
        <v>-2.5495750708215296E-2</v>
      </c>
      <c r="G40" s="9">
        <f t="shared" si="1"/>
        <v>3.1746031746031746E-3</v>
      </c>
      <c r="H40" s="9">
        <f t="shared" si="1"/>
        <v>2.4096385542168645E-2</v>
      </c>
      <c r="I40" s="9">
        <f t="shared" si="1"/>
        <v>-1.926782273603083E-2</v>
      </c>
      <c r="J40" s="9">
        <f t="shared" si="1"/>
        <v>-1.6244314489928524E-2</v>
      </c>
      <c r="K40" s="9">
        <f t="shared" si="1"/>
        <v>6.7567567567567216E-3</v>
      </c>
      <c r="L40" s="9">
        <f t="shared" si="1"/>
        <v>3.5590277777777728E-2</v>
      </c>
      <c r="M40" s="9">
        <f t="shared" si="1"/>
        <v>1.7667844522967192E-3</v>
      </c>
      <c r="N40" s="9">
        <f t="shared" si="1"/>
        <v>4.1766109785203887E-3</v>
      </c>
      <c r="O40" s="9">
        <f t="shared" si="1"/>
        <v>5.235602094240871E-3</v>
      </c>
      <c r="P40" s="9">
        <f t="shared" si="1"/>
        <v>1.8541409147094124E-3</v>
      </c>
      <c r="Q40" s="9">
        <f t="shared" si="1"/>
        <v>1.5772870662461166E-3</v>
      </c>
      <c r="R40" s="9">
        <f t="shared" si="1"/>
        <v>4.1916167664669979E-3</v>
      </c>
      <c r="S40" s="9">
        <f t="shared" si="1"/>
        <v>6.1500615006150061E-3</v>
      </c>
      <c r="T40" s="9">
        <f t="shared" ref="T40:AC40" si="5">IFERROR((T10-T9)/T9,0)</f>
        <v>4.8105832832229878E-3</v>
      </c>
      <c r="U40" s="9">
        <f t="shared" si="5"/>
        <v>0</v>
      </c>
      <c r="V40" s="9">
        <f t="shared" si="5"/>
        <v>3.6787247087675923E-3</v>
      </c>
      <c r="W40" s="9">
        <f t="shared" si="5"/>
        <v>2.4860161591050696E-3</v>
      </c>
      <c r="X40" s="9">
        <f t="shared" si="5"/>
        <v>4.6756282875512062E-3</v>
      </c>
      <c r="Y40" s="9">
        <f t="shared" si="5"/>
        <v>6.3411540900458301E-4</v>
      </c>
      <c r="Z40" s="9">
        <f t="shared" si="5"/>
        <v>9.9317194289260981E-3</v>
      </c>
      <c r="AA40" s="9">
        <f t="shared" si="5"/>
        <v>5.9701492537313433E-3</v>
      </c>
      <c r="AB40" s="9">
        <f t="shared" si="5"/>
        <v>-6.2383031815360407E-4</v>
      </c>
      <c r="AC40" s="9">
        <f t="shared" si="5"/>
        <v>3.0618493570116348E-3</v>
      </c>
    </row>
    <row r="41" spans="1:29" x14ac:dyDescent="0.35">
      <c r="A41" s="15" t="s">
        <v>30</v>
      </c>
      <c r="B41" s="15">
        <v>2021</v>
      </c>
      <c r="C41" s="15" t="s">
        <v>43</v>
      </c>
      <c r="D41" s="9">
        <f t="shared" si="1"/>
        <v>4.8143053645116132E-3</v>
      </c>
      <c r="E41" s="9">
        <f t="shared" si="1"/>
        <v>1.9792182088075494E-3</v>
      </c>
      <c r="F41" s="9">
        <f t="shared" si="1"/>
        <v>-1.104651162790701E-2</v>
      </c>
      <c r="G41" s="9">
        <f t="shared" si="1"/>
        <v>2.5316455696202892E-3</v>
      </c>
      <c r="H41" s="9">
        <f t="shared" si="1"/>
        <v>1.6879795396419494E-2</v>
      </c>
      <c r="I41" s="9">
        <f t="shared" si="1"/>
        <v>-6.5487884741319139E-4</v>
      </c>
      <c r="J41" s="9">
        <f t="shared" si="1"/>
        <v>0.12549537648612946</v>
      </c>
      <c r="K41" s="9">
        <f t="shared" si="1"/>
        <v>7.9316656497863507E-3</v>
      </c>
      <c r="L41" s="9">
        <f t="shared" si="1"/>
        <v>1.9279128248113973E-2</v>
      </c>
      <c r="M41" s="9">
        <f t="shared" si="1"/>
        <v>2.9394473838918285E-3</v>
      </c>
      <c r="N41" s="9">
        <f t="shared" si="1"/>
        <v>2.9708853238265003E-3</v>
      </c>
      <c r="O41" s="9">
        <f t="shared" si="1"/>
        <v>4.6296296296295305E-3</v>
      </c>
      <c r="P41" s="9">
        <f t="shared" si="1"/>
        <v>2.0974706971005588E-2</v>
      </c>
      <c r="Q41" s="9">
        <f t="shared" si="1"/>
        <v>3.6745406824146387E-3</v>
      </c>
      <c r="R41" s="9">
        <f t="shared" si="1"/>
        <v>7.1556350626119092E-3</v>
      </c>
      <c r="S41" s="9">
        <f t="shared" si="1"/>
        <v>7.334963325183479E-3</v>
      </c>
      <c r="T41" s="9">
        <f t="shared" ref="T41:AC41" si="6">IFERROR((T11-T10)/T10,0)</f>
        <v>7.1813285457810721E-3</v>
      </c>
      <c r="U41" s="9">
        <f t="shared" si="6"/>
        <v>0</v>
      </c>
      <c r="V41" s="9">
        <f t="shared" si="6"/>
        <v>1.0995723885155843E-2</v>
      </c>
      <c r="W41" s="9">
        <f t="shared" si="6"/>
        <v>4.3397396156229914E-3</v>
      </c>
      <c r="X41" s="9">
        <f t="shared" si="6"/>
        <v>3.4904013961605251E-3</v>
      </c>
      <c r="Y41" s="9">
        <f t="shared" si="6"/>
        <v>1.0773130544993591E-2</v>
      </c>
      <c r="Z41" s="9">
        <f t="shared" si="6"/>
        <v>3.0731407498463433E-3</v>
      </c>
      <c r="AA41" s="9">
        <f t="shared" si="6"/>
        <v>2.967359050445104E-3</v>
      </c>
      <c r="AB41" s="9">
        <f t="shared" si="6"/>
        <v>5.6179775280899239E-3</v>
      </c>
      <c r="AC41" s="9">
        <f t="shared" si="6"/>
        <v>5.4945054945053553E-3</v>
      </c>
    </row>
    <row r="42" spans="1:29" x14ac:dyDescent="0.35">
      <c r="A42" s="15" t="s">
        <v>30</v>
      </c>
      <c r="B42" s="15">
        <v>2021</v>
      </c>
      <c r="C42" s="15" t="s">
        <v>45</v>
      </c>
      <c r="D42" s="9">
        <f t="shared" si="1"/>
        <v>5.4757015742642806E-3</v>
      </c>
      <c r="E42" s="9">
        <f t="shared" si="1"/>
        <v>-1.3333333333333277E-2</v>
      </c>
      <c r="F42" s="9">
        <f t="shared" si="1"/>
        <v>8.230452674897153E-3</v>
      </c>
      <c r="G42" s="9">
        <f t="shared" si="1"/>
        <v>4.419191919191847E-3</v>
      </c>
      <c r="H42" s="9">
        <f t="shared" si="1"/>
        <v>-2.0120724346076742E-3</v>
      </c>
      <c r="I42" s="9">
        <f t="shared" si="1"/>
        <v>3.9318479685451794E-3</v>
      </c>
      <c r="J42" s="9">
        <f t="shared" si="1"/>
        <v>7.9225352112676048E-2</v>
      </c>
      <c r="K42" s="9">
        <f t="shared" si="1"/>
        <v>1.2106537530267377E-3</v>
      </c>
      <c r="L42" s="9">
        <f t="shared" si="1"/>
        <v>4.1118421052631577E-3</v>
      </c>
      <c r="M42" s="9">
        <f t="shared" si="1"/>
        <v>1.1723329425557859E-3</v>
      </c>
      <c r="N42" s="9">
        <f t="shared" si="1"/>
        <v>1.7772511848340221E-3</v>
      </c>
      <c r="O42" s="9">
        <f t="shared" si="1"/>
        <v>4.0322580645162278E-3</v>
      </c>
      <c r="P42" s="9">
        <f t="shared" si="1"/>
        <v>1.2084592145015106E-2</v>
      </c>
      <c r="Q42" s="9">
        <f t="shared" si="1"/>
        <v>1.0460251046025997E-3</v>
      </c>
      <c r="R42" s="9">
        <f t="shared" si="1"/>
        <v>8.8809946714031966E-3</v>
      </c>
      <c r="S42" s="9">
        <f t="shared" si="1"/>
        <v>7.2815533980581833E-3</v>
      </c>
      <c r="T42" s="9">
        <f t="shared" ref="T42:AC42" si="7">IFERROR((T12-T11)/T11,0)</f>
        <v>8.9126559714794995E-3</v>
      </c>
      <c r="U42" s="9">
        <f t="shared" si="7"/>
        <v>0</v>
      </c>
      <c r="V42" s="9">
        <f t="shared" si="7"/>
        <v>-1.2084592145014418E-3</v>
      </c>
      <c r="W42" s="9">
        <f t="shared" si="7"/>
        <v>5.5555555555555905E-3</v>
      </c>
      <c r="X42" s="9">
        <f t="shared" si="7"/>
        <v>5.2173913043478595E-3</v>
      </c>
      <c r="Y42" s="9">
        <f t="shared" si="7"/>
        <v>-3.7617554858933814E-3</v>
      </c>
      <c r="Z42" s="9">
        <f t="shared" si="7"/>
        <v>3.6764705882354337E-3</v>
      </c>
      <c r="AA42" s="9">
        <f t="shared" si="7"/>
        <v>1.7751479289941502E-3</v>
      </c>
      <c r="AB42" s="9">
        <f t="shared" si="7"/>
        <v>8.0695220360025542E-3</v>
      </c>
      <c r="AC42" s="9">
        <f t="shared" si="7"/>
        <v>3.0358227079538558E-3</v>
      </c>
    </row>
    <row r="43" spans="1:29" x14ac:dyDescent="0.35">
      <c r="A43" s="15" t="s">
        <v>30</v>
      </c>
      <c r="B43" s="15">
        <v>2021</v>
      </c>
      <c r="C43" s="15" t="s">
        <v>46</v>
      </c>
      <c r="D43" s="9">
        <f t="shared" si="1"/>
        <v>3.4036759700476512E-3</v>
      </c>
      <c r="E43" s="9">
        <f t="shared" si="1"/>
        <v>-1.4014014014014069E-2</v>
      </c>
      <c r="F43" s="9">
        <f t="shared" si="1"/>
        <v>2.9154518950437316E-2</v>
      </c>
      <c r="G43" s="9">
        <f t="shared" si="1"/>
        <v>4.3997485857952051E-3</v>
      </c>
      <c r="H43" s="9">
        <f t="shared" si="1"/>
        <v>-1.310483870967739E-2</v>
      </c>
      <c r="I43" s="9">
        <f t="shared" si="1"/>
        <v>-7.8328981723236862E-3</v>
      </c>
      <c r="J43" s="9">
        <f t="shared" si="1"/>
        <v>-6.3077759651984741E-2</v>
      </c>
      <c r="K43" s="9">
        <f t="shared" si="1"/>
        <v>-5.4413542926239761E-3</v>
      </c>
      <c r="L43" s="9">
        <f t="shared" si="1"/>
        <v>-1.2285012285012286E-2</v>
      </c>
      <c r="M43" s="9">
        <f t="shared" si="1"/>
        <v>5.2693208430912011E-3</v>
      </c>
      <c r="N43" s="9">
        <f t="shared" si="1"/>
        <v>3.548196333530422E-3</v>
      </c>
      <c r="O43" s="9">
        <f t="shared" si="1"/>
        <v>4.5897877223177444E-3</v>
      </c>
      <c r="P43" s="9">
        <f t="shared" si="1"/>
        <v>-1.0149253731343216E-2</v>
      </c>
      <c r="Q43" s="9">
        <f t="shared" si="1"/>
        <v>-3.1347962382444845E-3</v>
      </c>
      <c r="R43" s="9">
        <f t="shared" si="1"/>
        <v>8.2159624413145876E-3</v>
      </c>
      <c r="S43" s="9">
        <f t="shared" si="1"/>
        <v>7.8313253012048875E-3</v>
      </c>
      <c r="T43" s="9">
        <f t="shared" ref="T43:AC43" si="8">IFERROR((T13-T12)/T12,0)</f>
        <v>8.2449941107183584E-3</v>
      </c>
      <c r="U43" s="9">
        <f t="shared" si="8"/>
        <v>0</v>
      </c>
      <c r="V43" s="9">
        <f t="shared" si="8"/>
        <v>1.8148820326677733E-3</v>
      </c>
      <c r="W43" s="9">
        <f t="shared" si="8"/>
        <v>6.1387354205033762E-3</v>
      </c>
      <c r="X43" s="9">
        <f t="shared" si="8"/>
        <v>3.4602076124567146E-3</v>
      </c>
      <c r="Y43" s="9">
        <f t="shared" si="8"/>
        <v>7.551919446192502E-3</v>
      </c>
      <c r="Z43" s="9">
        <f t="shared" si="8"/>
        <v>4.2735042735042037E-3</v>
      </c>
      <c r="AA43" s="9">
        <f t="shared" si="8"/>
        <v>2.3626698168929547E-3</v>
      </c>
      <c r="AB43" s="9">
        <f t="shared" si="8"/>
        <v>2.4630541871921529E-3</v>
      </c>
      <c r="AC43" s="9">
        <f t="shared" si="8"/>
        <v>4.8426150121066063E-3</v>
      </c>
    </row>
    <row r="44" spans="1:29" x14ac:dyDescent="0.35">
      <c r="A44" s="15" t="s">
        <v>30</v>
      </c>
      <c r="B44" s="15">
        <v>2022</v>
      </c>
      <c r="C44" s="15" t="s">
        <v>31</v>
      </c>
      <c r="D44" s="9">
        <f t="shared" si="1"/>
        <v>6.1058344640434574E-3</v>
      </c>
      <c r="E44" s="9">
        <f t="shared" si="1"/>
        <v>-5.0761421319794073E-4</v>
      </c>
      <c r="F44" s="9">
        <f t="shared" si="1"/>
        <v>8.4985835694051E-3</v>
      </c>
      <c r="G44" s="9">
        <f t="shared" si="1"/>
        <v>4.3804755944930451E-3</v>
      </c>
      <c r="H44" s="9">
        <f t="shared" si="1"/>
        <v>-1.6343207354443397E-2</v>
      </c>
      <c r="I44" s="9">
        <f t="shared" si="1"/>
        <v>-5.2631578947369166E-3</v>
      </c>
      <c r="J44" s="9">
        <f t="shared" si="1"/>
        <v>-7.6030179918746499E-2</v>
      </c>
      <c r="K44" s="9">
        <f t="shared" si="1"/>
        <v>-3.0395136778115501E-3</v>
      </c>
      <c r="L44" s="9">
        <f t="shared" si="1"/>
        <v>-1.0779436152570458E-2</v>
      </c>
      <c r="M44" s="9">
        <f t="shared" si="1"/>
        <v>9.3185789167153348E-3</v>
      </c>
      <c r="N44" s="9">
        <f t="shared" si="1"/>
        <v>5.8927519151457124E-4</v>
      </c>
      <c r="O44" s="9">
        <f t="shared" si="1"/>
        <v>3.9977155910909026E-3</v>
      </c>
      <c r="P44" s="9">
        <f t="shared" si="1"/>
        <v>-1.0253317249698534E-2</v>
      </c>
      <c r="Q44" s="9">
        <f t="shared" si="1"/>
        <v>-5.2410901467517159E-4</v>
      </c>
      <c r="R44" s="9">
        <f t="shared" si="1"/>
        <v>8.1490104772990526E-3</v>
      </c>
      <c r="S44" s="9">
        <f t="shared" si="1"/>
        <v>1.195457262402869E-2</v>
      </c>
      <c r="T44" s="9">
        <f t="shared" ref="T44:AC44" si="9">IFERROR((T14-T13)/T13,0)</f>
        <v>8.7616822429906552E-3</v>
      </c>
      <c r="U44" s="9">
        <f t="shared" si="9"/>
        <v>0</v>
      </c>
      <c r="V44" s="9">
        <f t="shared" si="9"/>
        <v>1.2077294685991368E-3</v>
      </c>
      <c r="W44" s="9">
        <f t="shared" si="9"/>
        <v>6.1012812690665035E-3</v>
      </c>
      <c r="X44" s="9">
        <f t="shared" si="9"/>
        <v>4.0229885057470613E-3</v>
      </c>
      <c r="Y44" s="9">
        <f t="shared" si="9"/>
        <v>4.3722673329170333E-3</v>
      </c>
      <c r="Z44" s="9">
        <f t="shared" si="9"/>
        <v>2.4316109422492745E-3</v>
      </c>
      <c r="AA44" s="9">
        <f t="shared" si="9"/>
        <v>1.1785503830289751E-3</v>
      </c>
      <c r="AB44" s="9">
        <f t="shared" si="9"/>
        <v>2.4570024570023173E-3</v>
      </c>
      <c r="AC44" s="9">
        <f t="shared" si="9"/>
        <v>3.614457831325267E-3</v>
      </c>
    </row>
    <row r="45" spans="1:29" x14ac:dyDescent="0.35">
      <c r="A45" s="15" t="s">
        <v>30</v>
      </c>
      <c r="B45" s="15">
        <v>2022</v>
      </c>
      <c r="C45" s="15" t="s">
        <v>35</v>
      </c>
      <c r="D45" s="9">
        <f t="shared" si="1"/>
        <v>3.3715441672285905E-3</v>
      </c>
      <c r="E45" s="9">
        <f t="shared" si="1"/>
        <v>6.0944641950227965E-3</v>
      </c>
      <c r="F45" s="9">
        <f t="shared" si="1"/>
        <v>-1.4044943820224719E-2</v>
      </c>
      <c r="G45" s="9">
        <f t="shared" si="1"/>
        <v>1.2461059190030444E-3</v>
      </c>
      <c r="H45" s="9">
        <f t="shared" si="1"/>
        <v>0</v>
      </c>
      <c r="I45" s="9">
        <f t="shared" si="1"/>
        <v>1.3227513227514357E-3</v>
      </c>
      <c r="J45" s="9">
        <f t="shared" si="1"/>
        <v>-2.5125628140703519E-2</v>
      </c>
      <c r="K45" s="9">
        <f t="shared" si="1"/>
        <v>-6.0975609756094091E-4</v>
      </c>
      <c r="L45" s="9">
        <f t="shared" si="1"/>
        <v>-1.0058675607711676E-2</v>
      </c>
      <c r="M45" s="9">
        <f t="shared" si="1"/>
        <v>1.2117714945181731E-2</v>
      </c>
      <c r="N45" s="9">
        <f t="shared" si="1"/>
        <v>4.1224970553591792E-3</v>
      </c>
      <c r="O45" s="9">
        <f t="shared" si="1"/>
        <v>2.844141069397042E-3</v>
      </c>
      <c r="P45" s="9">
        <f t="shared" si="1"/>
        <v>-1.2187690432662317E-3</v>
      </c>
      <c r="Q45" s="9">
        <f t="shared" si="1"/>
        <v>4.1950707918196719E-3</v>
      </c>
      <c r="R45" s="9">
        <f t="shared" si="1"/>
        <v>5.19630484988456E-3</v>
      </c>
      <c r="S45" s="9">
        <f t="shared" si="1"/>
        <v>1.004134672179556E-2</v>
      </c>
      <c r="T45" s="9">
        <f t="shared" ref="T45:AC45" si="10">IFERROR((T15-T14)/T14,0)</f>
        <v>5.7903879559930522E-3</v>
      </c>
      <c r="U45" s="9">
        <f t="shared" si="10"/>
        <v>0</v>
      </c>
      <c r="V45" s="9">
        <f t="shared" si="10"/>
        <v>9.6501809408926064E-3</v>
      </c>
      <c r="W45" s="9">
        <f t="shared" si="10"/>
        <v>4.8514251061248202E-3</v>
      </c>
      <c r="X45" s="9">
        <f t="shared" si="10"/>
        <v>3.4344590726961806E-3</v>
      </c>
      <c r="Y45" s="9">
        <f t="shared" si="10"/>
        <v>2.4875621890545849E-3</v>
      </c>
      <c r="Z45" s="9">
        <f t="shared" si="10"/>
        <v>3.6385688295936585E-3</v>
      </c>
      <c r="AA45" s="9">
        <f t="shared" si="10"/>
        <v>2.3543260741613046E-3</v>
      </c>
      <c r="AB45" s="9">
        <f t="shared" si="10"/>
        <v>7.9656862745098745E-3</v>
      </c>
      <c r="AC45" s="9">
        <f t="shared" si="10"/>
        <v>4.2016806722690097E-3</v>
      </c>
    </row>
    <row r="46" spans="1:29" x14ac:dyDescent="0.35">
      <c r="A46" s="15" t="s">
        <v>30</v>
      </c>
      <c r="B46" s="15">
        <v>2022</v>
      </c>
      <c r="C46" s="15" t="s">
        <v>36</v>
      </c>
      <c r="D46" s="9">
        <f t="shared" si="1"/>
        <v>9.4086021505374803E-3</v>
      </c>
      <c r="E46" s="9">
        <f t="shared" si="1"/>
        <v>4.9974760222110073E-2</v>
      </c>
      <c r="F46" s="9">
        <f t="shared" si="1"/>
        <v>-4.3304843304843271E-2</v>
      </c>
      <c r="G46" s="9">
        <f t="shared" si="1"/>
        <v>8.0896079651525295E-3</v>
      </c>
      <c r="H46" s="9">
        <f t="shared" si="1"/>
        <v>5.4517133956386292E-2</v>
      </c>
      <c r="I46" s="9">
        <f t="shared" si="1"/>
        <v>2.9722589167767502E-2</v>
      </c>
      <c r="J46" s="9">
        <f t="shared" si="1"/>
        <v>3.8659793814434457E-3</v>
      </c>
      <c r="K46" s="9">
        <f t="shared" si="1"/>
        <v>1.8303843807198471E-3</v>
      </c>
      <c r="L46" s="9">
        <f t="shared" si="1"/>
        <v>0</v>
      </c>
      <c r="M46" s="9">
        <f t="shared" si="1"/>
        <v>1.8814139110604235E-2</v>
      </c>
      <c r="N46" s="9">
        <f t="shared" si="1"/>
        <v>4.1055718475072646E-3</v>
      </c>
      <c r="O46" s="9">
        <f t="shared" si="1"/>
        <v>6.239364719228555E-3</v>
      </c>
      <c r="P46" s="9">
        <f t="shared" si="1"/>
        <v>1.647345942647949E-2</v>
      </c>
      <c r="Q46" s="9">
        <f t="shared" si="1"/>
        <v>4.177545691906065E-3</v>
      </c>
      <c r="R46" s="9">
        <f t="shared" si="1"/>
        <v>7.466973004020743E-3</v>
      </c>
      <c r="S46" s="9">
        <f t="shared" si="1"/>
        <v>1.2865497076023325E-2</v>
      </c>
      <c r="T46" s="9">
        <f t="shared" ref="T46:AC46" si="11">IFERROR((T16-T15)/T15,0)</f>
        <v>8.0598733448474721E-3</v>
      </c>
      <c r="U46" s="9">
        <f t="shared" si="11"/>
        <v>0</v>
      </c>
      <c r="V46" s="9">
        <f t="shared" si="11"/>
        <v>8.9605734767025085E-3</v>
      </c>
      <c r="W46" s="9">
        <f t="shared" si="11"/>
        <v>4.8280024140012756E-3</v>
      </c>
      <c r="X46" s="9">
        <f t="shared" si="11"/>
        <v>3.9931545921277154E-3</v>
      </c>
      <c r="Y46" s="9">
        <f t="shared" si="11"/>
        <v>4.9627791563276145E-3</v>
      </c>
      <c r="Z46" s="9">
        <f t="shared" si="11"/>
        <v>6.6465256797582735E-3</v>
      </c>
      <c r="AA46" s="9">
        <f t="shared" si="11"/>
        <v>1.7615971814444094E-3</v>
      </c>
      <c r="AB46" s="9">
        <f t="shared" si="11"/>
        <v>1.7629179331307025E-2</v>
      </c>
      <c r="AC46" s="9">
        <f t="shared" si="11"/>
        <v>5.977286312014345E-3</v>
      </c>
    </row>
    <row r="47" spans="1:29" x14ac:dyDescent="0.35">
      <c r="A47" s="15" t="s">
        <v>30</v>
      </c>
      <c r="B47" s="15">
        <v>2022</v>
      </c>
      <c r="C47" s="15" t="s">
        <v>37</v>
      </c>
      <c r="D47" s="9">
        <f t="shared" si="1"/>
        <v>1.0652463382157275E-2</v>
      </c>
      <c r="E47" s="9">
        <f t="shared" si="1"/>
        <v>8.173076923076868E-3</v>
      </c>
      <c r="F47" s="9">
        <f t="shared" si="1"/>
        <v>-2.0250148898153696E-2</v>
      </c>
      <c r="G47" s="9">
        <f t="shared" si="1"/>
        <v>1.1111111111111181E-2</v>
      </c>
      <c r="H47" s="9">
        <f t="shared" si="1"/>
        <v>2.1171836533727284E-2</v>
      </c>
      <c r="I47" s="9">
        <f t="shared" si="1"/>
        <v>8.8518280949326372E-2</v>
      </c>
      <c r="J47" s="9">
        <f t="shared" si="1"/>
        <v>-1.4120667522464807E-2</v>
      </c>
      <c r="K47" s="9">
        <f t="shared" si="1"/>
        <v>5.4811205846528972E-3</v>
      </c>
      <c r="L47" s="9">
        <f t="shared" si="1"/>
        <v>8.4674005080447533E-4</v>
      </c>
      <c r="M47" s="9">
        <f t="shared" si="1"/>
        <v>2.3503077783995619E-2</v>
      </c>
      <c r="N47" s="9">
        <f t="shared" si="1"/>
        <v>7.009345794392623E-3</v>
      </c>
      <c r="O47" s="9">
        <f t="shared" si="1"/>
        <v>8.4554678692220966E-3</v>
      </c>
      <c r="P47" s="9">
        <f t="shared" si="1"/>
        <v>1.2004801920768308E-2</v>
      </c>
      <c r="Q47" s="9">
        <f t="shared" si="1"/>
        <v>2.6001040041601664E-3</v>
      </c>
      <c r="R47" s="9">
        <f t="shared" si="1"/>
        <v>1.1972633979475452E-2</v>
      </c>
      <c r="S47" s="9">
        <f t="shared" si="1"/>
        <v>1.0969976905311811E-2</v>
      </c>
      <c r="T47" s="9">
        <f t="shared" ref="T47:AC47" si="12">IFERROR((T17-T16)/T16,0)</f>
        <v>1.1422044545973729E-2</v>
      </c>
      <c r="U47" s="9">
        <f t="shared" si="12"/>
        <v>0</v>
      </c>
      <c r="V47" s="9">
        <f t="shared" si="12"/>
        <v>2.6050917702782745E-2</v>
      </c>
      <c r="W47" s="9">
        <f t="shared" si="12"/>
        <v>7.2072072072071388E-3</v>
      </c>
      <c r="X47" s="9">
        <f t="shared" si="12"/>
        <v>5.681818181818182E-3</v>
      </c>
      <c r="Y47" s="9">
        <f t="shared" si="12"/>
        <v>2.5925925925925856E-2</v>
      </c>
      <c r="Z47" s="9">
        <f t="shared" si="12"/>
        <v>3.6014405762304583E-3</v>
      </c>
      <c r="AA47" s="9">
        <f t="shared" si="12"/>
        <v>1.7584994138335954E-3</v>
      </c>
      <c r="AB47" s="9">
        <f t="shared" si="12"/>
        <v>9.557945041815976E-3</v>
      </c>
      <c r="AC47" s="9">
        <f t="shared" si="12"/>
        <v>1.1289364230540565E-2</v>
      </c>
    </row>
    <row r="48" spans="1:29" x14ac:dyDescent="0.35">
      <c r="A48" s="15" t="s">
        <v>30</v>
      </c>
      <c r="B48" s="15">
        <v>2022</v>
      </c>
      <c r="C48" s="15" t="s">
        <v>38</v>
      </c>
      <c r="D48" s="9">
        <f t="shared" si="1"/>
        <v>7.2463768115941648E-3</v>
      </c>
      <c r="E48" s="9">
        <f t="shared" si="1"/>
        <v>2.3843586075345733E-2</v>
      </c>
      <c r="F48" s="9">
        <f t="shared" si="1"/>
        <v>-1.8844984802431575E-2</v>
      </c>
      <c r="G48" s="9">
        <f t="shared" si="1"/>
        <v>4.8840048840047799E-3</v>
      </c>
      <c r="H48" s="9">
        <f t="shared" si="1"/>
        <v>1.2054001928640309E-2</v>
      </c>
      <c r="I48" s="9">
        <f t="shared" si="1"/>
        <v>-1.0017678255745366E-2</v>
      </c>
      <c r="J48" s="9">
        <f t="shared" si="1"/>
        <v>4.4270833333333412E-2</v>
      </c>
      <c r="K48" s="9">
        <f t="shared" si="1"/>
        <v>-6.0569351907931147E-4</v>
      </c>
      <c r="L48" s="9">
        <f t="shared" si="1"/>
        <v>5.9221658206430015E-3</v>
      </c>
      <c r="M48" s="9">
        <f t="shared" si="1"/>
        <v>2.0229633679606278E-2</v>
      </c>
      <c r="N48" s="9">
        <f t="shared" si="1"/>
        <v>4.6403712296982768E-3</v>
      </c>
      <c r="O48" s="9">
        <f t="shared" si="1"/>
        <v>8.3845723868082728E-3</v>
      </c>
      <c r="P48" s="9">
        <f t="shared" si="1"/>
        <v>1.3048635824436638E-2</v>
      </c>
      <c r="Q48" s="9">
        <f t="shared" si="1"/>
        <v>5.1867219917009499E-4</v>
      </c>
      <c r="R48" s="9">
        <f t="shared" si="1"/>
        <v>1.0140845070422599E-2</v>
      </c>
      <c r="S48" s="9">
        <f t="shared" si="1"/>
        <v>1.1993146773272383E-2</v>
      </c>
      <c r="T48" s="9">
        <f t="shared" ref="T48:AC48" si="13">IFERROR((T18-T17)/T17,0)</f>
        <v>1.0728402032749891E-2</v>
      </c>
      <c r="U48" s="9">
        <f t="shared" si="13"/>
        <v>0</v>
      </c>
      <c r="V48" s="9">
        <f t="shared" si="13"/>
        <v>1.1540680900173109E-2</v>
      </c>
      <c r="W48" s="9">
        <f t="shared" si="13"/>
        <v>7.1556350626119092E-3</v>
      </c>
      <c r="X48" s="9">
        <f t="shared" si="13"/>
        <v>3.9548022598869413E-3</v>
      </c>
      <c r="Y48" s="9">
        <f t="shared" si="13"/>
        <v>5.4151624548736807E-3</v>
      </c>
      <c r="Z48" s="9">
        <f t="shared" si="13"/>
        <v>2.3923444976076897E-3</v>
      </c>
      <c r="AA48" s="9">
        <f t="shared" si="13"/>
        <v>5.2662375658280025E-3</v>
      </c>
      <c r="AB48" s="9">
        <f t="shared" si="13"/>
        <v>-2.9585798816568047E-3</v>
      </c>
      <c r="AC48" s="9">
        <f t="shared" si="13"/>
        <v>4.1128084606346484E-3</v>
      </c>
    </row>
    <row r="49" spans="1:29" x14ac:dyDescent="0.35">
      <c r="A49" s="15" t="s">
        <v>30</v>
      </c>
      <c r="B49" s="15">
        <v>2022</v>
      </c>
      <c r="C49" s="15" t="s">
        <v>39</v>
      </c>
      <c r="D49" s="9">
        <f t="shared" si="1"/>
        <v>5.8862001308044847E-3</v>
      </c>
      <c r="E49" s="9">
        <f t="shared" si="1"/>
        <v>1.1644154634373545E-2</v>
      </c>
      <c r="F49" s="9">
        <f t="shared" si="1"/>
        <v>5.0805452292441065E-2</v>
      </c>
      <c r="G49" s="9">
        <f t="shared" si="1"/>
        <v>4.8602673147023776E-3</v>
      </c>
      <c r="H49" s="9">
        <f t="shared" si="1"/>
        <v>-8.5755121486422638E-3</v>
      </c>
      <c r="I49" s="9">
        <f t="shared" si="1"/>
        <v>-1.3095238095238028E-2</v>
      </c>
      <c r="J49" s="9">
        <f t="shared" si="1"/>
        <v>4.3017456359102278E-2</v>
      </c>
      <c r="K49" s="9">
        <f t="shared" si="1"/>
        <v>-2.4242424242424585E-3</v>
      </c>
      <c r="L49" s="9">
        <f t="shared" si="1"/>
        <v>1.6820857863750094E-3</v>
      </c>
      <c r="M49" s="9">
        <f t="shared" si="1"/>
        <v>1.2325830653804992E-2</v>
      </c>
      <c r="N49" s="9">
        <f t="shared" si="1"/>
        <v>5.7736720554272519E-3</v>
      </c>
      <c r="O49" s="9">
        <f t="shared" si="1"/>
        <v>8.3148558758314849E-3</v>
      </c>
      <c r="P49" s="9">
        <f t="shared" si="1"/>
        <v>9.3676814988290051E-3</v>
      </c>
      <c r="Q49" s="9">
        <f t="shared" si="1"/>
        <v>0</v>
      </c>
      <c r="R49" s="9">
        <f t="shared" si="1"/>
        <v>7.8081427774678034E-3</v>
      </c>
      <c r="S49" s="9">
        <f t="shared" si="1"/>
        <v>8.4650112866817163E-3</v>
      </c>
      <c r="T49" s="9">
        <f t="shared" ref="T49:AC49" si="14">IFERROR((T19-T18)/T18,0)</f>
        <v>7.8212290502793613E-3</v>
      </c>
      <c r="U49" s="9">
        <f t="shared" si="14"/>
        <v>0</v>
      </c>
      <c r="V49" s="9">
        <f t="shared" si="14"/>
        <v>7.9863091842554308E-3</v>
      </c>
      <c r="W49" s="9">
        <f t="shared" si="14"/>
        <v>8.28892835997635E-3</v>
      </c>
      <c r="X49" s="9">
        <f t="shared" si="14"/>
        <v>2.8137310073157009E-3</v>
      </c>
      <c r="Y49" s="9">
        <f t="shared" si="14"/>
        <v>-9.5751047277079261E-3</v>
      </c>
      <c r="Z49" s="9">
        <f t="shared" si="14"/>
        <v>2.386634844868769E-3</v>
      </c>
      <c r="AA49" s="9">
        <f t="shared" si="14"/>
        <v>4.6565774155994345E-3</v>
      </c>
      <c r="AB49" s="9">
        <f t="shared" si="14"/>
        <v>5.9347181008902079E-3</v>
      </c>
      <c r="AC49" s="9">
        <f t="shared" si="14"/>
        <v>5.8513750731418557E-4</v>
      </c>
    </row>
    <row r="50" spans="1:29" x14ac:dyDescent="0.35">
      <c r="A50" s="15" t="s">
        <v>30</v>
      </c>
      <c r="B50" s="15">
        <v>2022</v>
      </c>
      <c r="C50" s="15" t="s">
        <v>40</v>
      </c>
      <c r="D50" s="9">
        <f t="shared" si="1"/>
        <v>9.102730819245626E-3</v>
      </c>
      <c r="E50" s="9">
        <f t="shared" si="1"/>
        <v>-2.9465930018416103E-2</v>
      </c>
      <c r="F50" s="9">
        <f t="shared" si="1"/>
        <v>2.7712264150943498E-2</v>
      </c>
      <c r="G50" s="9">
        <f t="shared" si="1"/>
        <v>5.4413542926239761E-3</v>
      </c>
      <c r="H50" s="9">
        <f t="shared" si="1"/>
        <v>-2.8351753964440202E-2</v>
      </c>
      <c r="I50" s="9">
        <f t="shared" si="1"/>
        <v>2.2919179734619918E-2</v>
      </c>
      <c r="J50" s="9">
        <f t="shared" si="1"/>
        <v>7.770472205618547E-3</v>
      </c>
      <c r="K50" s="9">
        <f t="shared" si="1"/>
        <v>-1.2150668286755081E-3</v>
      </c>
      <c r="L50" s="9">
        <f t="shared" si="1"/>
        <v>8.3963056255254855E-4</v>
      </c>
      <c r="M50" s="9">
        <f t="shared" si="1"/>
        <v>1.5352038115405005E-2</v>
      </c>
      <c r="N50" s="9">
        <f t="shared" si="1"/>
        <v>1.7221584385764144E-3</v>
      </c>
      <c r="O50" s="9">
        <f t="shared" si="1"/>
        <v>6.5970313358987825E-3</v>
      </c>
      <c r="P50" s="9">
        <f t="shared" si="1"/>
        <v>5.80046403712264E-4</v>
      </c>
      <c r="Q50" s="9">
        <f t="shared" si="1"/>
        <v>1.5552099533436129E-3</v>
      </c>
      <c r="R50" s="9">
        <f t="shared" si="1"/>
        <v>7.1942446043166105E-3</v>
      </c>
      <c r="S50" s="9">
        <f t="shared" si="1"/>
        <v>8.9535534415222315E-3</v>
      </c>
      <c r="T50" s="9">
        <f t="shared" ref="T50:AC50" si="15">IFERROR((T20-T19)/T19,0)</f>
        <v>7.2062084257205261E-3</v>
      </c>
      <c r="U50" s="9">
        <f t="shared" si="15"/>
        <v>0</v>
      </c>
      <c r="V50" s="9">
        <f t="shared" si="15"/>
        <v>1.6411997736276208E-2</v>
      </c>
      <c r="W50" s="9">
        <f t="shared" si="15"/>
        <v>5.8719906048150319E-3</v>
      </c>
      <c r="X50" s="9">
        <f t="shared" si="15"/>
        <v>3.3670033670034948E-3</v>
      </c>
      <c r="Y50" s="9">
        <f t="shared" si="15"/>
        <v>4.8338368580061108E-3</v>
      </c>
      <c r="Z50" s="9">
        <f t="shared" si="15"/>
        <v>3.5714285714285375E-3</v>
      </c>
      <c r="AA50" s="9">
        <f t="shared" si="15"/>
        <v>1.2166859791425228E-2</v>
      </c>
      <c r="AB50" s="9">
        <f t="shared" si="15"/>
        <v>1.1799410029497855E-3</v>
      </c>
      <c r="AC50" s="9">
        <f t="shared" si="15"/>
        <v>4.6783625730994821E-3</v>
      </c>
    </row>
    <row r="51" spans="1:29" x14ac:dyDescent="0.35">
      <c r="A51" s="15" t="s">
        <v>30</v>
      </c>
      <c r="B51" s="15">
        <v>2022</v>
      </c>
      <c r="C51" s="15" t="s">
        <v>41</v>
      </c>
      <c r="D51" s="9">
        <f t="shared" si="1"/>
        <v>2.7706185567010384E-2</v>
      </c>
      <c r="E51" s="9">
        <f t="shared" si="1"/>
        <v>-3.1783681214421329E-2</v>
      </c>
      <c r="F51" s="9">
        <f t="shared" si="1"/>
        <v>-3.4423407917383818E-2</v>
      </c>
      <c r="G51" s="9">
        <f t="shared" si="1"/>
        <v>9.6211665664461474E-3</v>
      </c>
      <c r="H51" s="9">
        <f t="shared" si="1"/>
        <v>-2.0276953511374849E-2</v>
      </c>
      <c r="I51" s="9">
        <f t="shared" si="1"/>
        <v>-2.3584905660377696E-3</v>
      </c>
      <c r="J51" s="9">
        <f t="shared" si="1"/>
        <v>2.6690391459074734E-2</v>
      </c>
      <c r="K51" s="9">
        <f t="shared" si="1"/>
        <v>1.6423357664233508E-2</v>
      </c>
      <c r="L51" s="9">
        <f t="shared" si="1"/>
        <v>8.389261744966443E-3</v>
      </c>
      <c r="M51" s="9">
        <f t="shared" si="1"/>
        <v>1.981230448383724E-2</v>
      </c>
      <c r="N51" s="9">
        <f t="shared" si="1"/>
        <v>1.7191977077364547E-3</v>
      </c>
      <c r="O51" s="9">
        <f t="shared" si="1"/>
        <v>4.9153468050246079E-3</v>
      </c>
      <c r="P51" s="9">
        <f t="shared" si="1"/>
        <v>8.1159420289855407E-3</v>
      </c>
      <c r="Q51" s="9">
        <f t="shared" ref="Q51:AC51" si="16">IFERROR((Q21-Q20)/Q20,0)</f>
        <v>2.587991718426501E-3</v>
      </c>
      <c r="R51" s="9">
        <f t="shared" si="16"/>
        <v>6.593406593406531E-3</v>
      </c>
      <c r="S51" s="9">
        <f t="shared" si="16"/>
        <v>7.7648363838046432E-3</v>
      </c>
      <c r="T51" s="9">
        <f t="shared" si="16"/>
        <v>7.1546505228399088E-3</v>
      </c>
      <c r="U51" s="9">
        <f t="shared" si="16"/>
        <v>0</v>
      </c>
      <c r="V51" s="9">
        <f t="shared" si="16"/>
        <v>-2.7839643652561247E-3</v>
      </c>
      <c r="W51" s="9">
        <f t="shared" si="16"/>
        <v>5.837711617046118E-3</v>
      </c>
      <c r="X51" s="9">
        <f t="shared" si="16"/>
        <v>3.355704697986545E-3</v>
      </c>
      <c r="Y51" s="9">
        <f t="shared" si="16"/>
        <v>1.8039687312085564E-3</v>
      </c>
      <c r="Z51" s="9">
        <f t="shared" si="16"/>
        <v>4.1518386714117263E-3</v>
      </c>
      <c r="AA51" s="9">
        <f t="shared" si="16"/>
        <v>5.7240984544934172E-3</v>
      </c>
      <c r="AB51" s="9">
        <f t="shared" si="16"/>
        <v>8.2498526812021557E-3</v>
      </c>
      <c r="AC51" s="9">
        <f t="shared" si="16"/>
        <v>4.6565774155994345E-3</v>
      </c>
    </row>
    <row r="52" spans="1:29" x14ac:dyDescent="0.35">
      <c r="A52" s="15" t="s">
        <v>30</v>
      </c>
      <c r="B52" s="15">
        <v>2022</v>
      </c>
      <c r="C52" s="15" t="s">
        <v>42</v>
      </c>
      <c r="D52" s="9">
        <f t="shared" si="1"/>
        <v>2.1316614420062732E-2</v>
      </c>
      <c r="E52" s="9">
        <f t="shared" si="1"/>
        <v>1.2738853503184686E-2</v>
      </c>
      <c r="F52" s="9">
        <f t="shared" ref="F52:AC52" si="17">IFERROR((F22-F21)/F21,0)</f>
        <v>4.1592394533570328E-3</v>
      </c>
      <c r="G52" s="9">
        <f t="shared" si="17"/>
        <v>9.5294818344252193E-3</v>
      </c>
      <c r="H52" s="9">
        <f t="shared" si="17"/>
        <v>-2.0191822311963654E-2</v>
      </c>
      <c r="I52" s="9">
        <f t="shared" si="17"/>
        <v>-3.0141843971631173E-2</v>
      </c>
      <c r="J52" s="9">
        <f t="shared" si="17"/>
        <v>2.1952628538417167E-2</v>
      </c>
      <c r="K52" s="9">
        <f t="shared" si="17"/>
        <v>1.1370436864153236E-2</v>
      </c>
      <c r="L52" s="9">
        <f t="shared" si="17"/>
        <v>4.9916805324458757E-3</v>
      </c>
      <c r="M52" s="9">
        <f t="shared" si="17"/>
        <v>1.7893660531697341E-2</v>
      </c>
      <c r="N52" s="9">
        <f t="shared" si="17"/>
        <v>3.4324942791761686E-3</v>
      </c>
      <c r="O52" s="9">
        <f t="shared" si="17"/>
        <v>4.3478260869565834E-3</v>
      </c>
      <c r="P52" s="9">
        <f t="shared" si="17"/>
        <v>9.2006900517538487E-3</v>
      </c>
      <c r="Q52" s="9">
        <f t="shared" si="17"/>
        <v>4.1300980898296927E-3</v>
      </c>
      <c r="R52" s="9">
        <f t="shared" si="17"/>
        <v>8.1877729257641921E-3</v>
      </c>
      <c r="S52" s="9">
        <f t="shared" si="17"/>
        <v>8.8057237204183982E-3</v>
      </c>
      <c r="T52" s="9">
        <f t="shared" si="17"/>
        <v>8.1967213114754103E-3</v>
      </c>
      <c r="U52" s="9">
        <f t="shared" si="17"/>
        <v>0</v>
      </c>
      <c r="V52" s="9">
        <f t="shared" si="17"/>
        <v>3.3500837520937707E-3</v>
      </c>
      <c r="W52" s="9">
        <f t="shared" si="17"/>
        <v>7.5449796865930518E-3</v>
      </c>
      <c r="X52" s="9">
        <f t="shared" si="17"/>
        <v>4.4593088071347986E-3</v>
      </c>
      <c r="Y52" s="9">
        <f t="shared" si="17"/>
        <v>1.8007202881153144E-3</v>
      </c>
      <c r="Z52" s="9">
        <f t="shared" si="17"/>
        <v>4.1346721795628384E-3</v>
      </c>
      <c r="AA52" s="9">
        <f t="shared" si="17"/>
        <v>2.845759817871372E-3</v>
      </c>
      <c r="AB52" s="9">
        <f t="shared" si="17"/>
        <v>-1.7533606078315779E-3</v>
      </c>
      <c r="AC52" s="9">
        <f t="shared" si="17"/>
        <v>2.8968713789107765E-3</v>
      </c>
    </row>
    <row r="53" spans="1:29" x14ac:dyDescent="0.35">
      <c r="A53" s="15" t="s">
        <v>30</v>
      </c>
      <c r="B53" s="15">
        <v>2022</v>
      </c>
      <c r="C53" s="15" t="s">
        <v>43</v>
      </c>
      <c r="D53" s="9">
        <f t="shared" si="1"/>
        <v>1.1049723756905973E-2</v>
      </c>
      <c r="E53" s="9">
        <f t="shared" si="1"/>
        <v>1.0159651669085742E-2</v>
      </c>
      <c r="F53" s="9">
        <f t="shared" ref="F53:AC53" si="18">IFERROR((F23-F22)/F22,0)</f>
        <v>7.6923076923077595E-3</v>
      </c>
      <c r="G53" s="9">
        <f t="shared" si="18"/>
        <v>8.2595870206490004E-3</v>
      </c>
      <c r="H53" s="9">
        <f t="shared" si="18"/>
        <v>-1.2879958784131892E-2</v>
      </c>
      <c r="I53" s="9">
        <f t="shared" si="18"/>
        <v>-1.1578305911029894E-2</v>
      </c>
      <c r="J53" s="9">
        <f t="shared" si="18"/>
        <v>4.4657998869417778E-2</v>
      </c>
      <c r="K53" s="9">
        <f t="shared" si="18"/>
        <v>4.1420118343194591E-3</v>
      </c>
      <c r="L53" s="9">
        <f t="shared" si="18"/>
        <v>2.4834437086092482E-3</v>
      </c>
      <c r="M53" s="9">
        <f t="shared" si="18"/>
        <v>1.2556504269211451E-2</v>
      </c>
      <c r="N53" s="9">
        <f t="shared" si="18"/>
        <v>2.2805017103763149E-3</v>
      </c>
      <c r="O53" s="9">
        <f t="shared" si="18"/>
        <v>4.3290043290042362E-3</v>
      </c>
      <c r="P53" s="9">
        <f t="shared" si="18"/>
        <v>1.0826210826210859E-2</v>
      </c>
      <c r="Q53" s="9">
        <f t="shared" si="18"/>
        <v>2.0565552699229085E-3</v>
      </c>
      <c r="R53" s="9">
        <f t="shared" si="18"/>
        <v>7.5798592311857376E-3</v>
      </c>
      <c r="S53" s="9">
        <f t="shared" si="18"/>
        <v>6.0010911074740549E-3</v>
      </c>
      <c r="T53" s="9">
        <f t="shared" si="18"/>
        <v>7.5880758807588388E-3</v>
      </c>
      <c r="U53" s="9">
        <f t="shared" si="18"/>
        <v>0</v>
      </c>
      <c r="V53" s="9">
        <f t="shared" si="18"/>
        <v>6.1213132999444787E-3</v>
      </c>
      <c r="W53" s="9">
        <f t="shared" si="18"/>
        <v>4.608294930875642E-3</v>
      </c>
      <c r="X53" s="9">
        <f t="shared" si="18"/>
        <v>5.5493895671476145E-3</v>
      </c>
      <c r="Y53" s="9">
        <f t="shared" si="18"/>
        <v>2.9958058717795086E-3</v>
      </c>
      <c r="Z53" s="9">
        <f t="shared" si="18"/>
        <v>3.5294117647058491E-3</v>
      </c>
      <c r="AA53" s="9">
        <f t="shared" si="18"/>
        <v>1.7026106696935947E-3</v>
      </c>
      <c r="AB53" s="9">
        <f t="shared" si="18"/>
        <v>7.0257611241217131E-3</v>
      </c>
      <c r="AC53" s="9">
        <f t="shared" si="18"/>
        <v>4.6216060080878762E-3</v>
      </c>
    </row>
    <row r="54" spans="1:29" x14ac:dyDescent="0.35">
      <c r="A54" s="15" t="s">
        <v>30</v>
      </c>
      <c r="B54" s="15">
        <v>2022</v>
      </c>
      <c r="C54" s="15" t="s">
        <v>45</v>
      </c>
      <c r="D54" s="9">
        <f t="shared" si="1"/>
        <v>1.3357619914997069E-2</v>
      </c>
      <c r="E54" s="9">
        <f t="shared" si="1"/>
        <v>-7.6628352490422545E-3</v>
      </c>
      <c r="F54" s="9">
        <f t="shared" ref="F54:AC54" si="19">IFERROR((F24-F23)/F23,0)</f>
        <v>5.8132706987668682E-2</v>
      </c>
      <c r="G54" s="9">
        <f t="shared" si="19"/>
        <v>8.1919251023990971E-3</v>
      </c>
      <c r="H54" s="9">
        <f t="shared" si="19"/>
        <v>1.2526096033402953E-2</v>
      </c>
      <c r="I54" s="9">
        <f t="shared" si="19"/>
        <v>-1.9112207151664579E-2</v>
      </c>
      <c r="J54" s="9">
        <f t="shared" si="19"/>
        <v>-7.1428571428571522E-2</v>
      </c>
      <c r="K54" s="9">
        <f t="shared" si="19"/>
        <v>2.9463759575721863E-3</v>
      </c>
      <c r="L54" s="9">
        <f t="shared" si="19"/>
        <v>3.3030553261767606E-3</v>
      </c>
      <c r="M54" s="9">
        <f t="shared" si="19"/>
        <v>1.5873015873015959E-2</v>
      </c>
      <c r="N54" s="9">
        <f t="shared" si="19"/>
        <v>3.412969283276418E-3</v>
      </c>
      <c r="O54" s="9">
        <f t="shared" si="19"/>
        <v>7.0043103448276479E-3</v>
      </c>
      <c r="P54" s="9">
        <f t="shared" si="19"/>
        <v>-4.5095828635851824E-3</v>
      </c>
      <c r="Q54" s="9">
        <f t="shared" si="19"/>
        <v>3.0785017957926848E-3</v>
      </c>
      <c r="R54" s="9">
        <f t="shared" si="19"/>
        <v>5.9108006448145853E-3</v>
      </c>
      <c r="S54" s="9">
        <f t="shared" si="19"/>
        <v>4.3383947939261546E-3</v>
      </c>
      <c r="T54" s="9">
        <f t="shared" si="19"/>
        <v>5.3792361484669175E-3</v>
      </c>
      <c r="U54" s="9">
        <f t="shared" si="19"/>
        <v>0</v>
      </c>
      <c r="V54" s="9">
        <f t="shared" si="19"/>
        <v>6.0840707964601448E-3</v>
      </c>
      <c r="W54" s="9">
        <f t="shared" si="19"/>
        <v>6.3073394495412518E-3</v>
      </c>
      <c r="X54" s="9">
        <f t="shared" si="19"/>
        <v>6.070640176600567E-3</v>
      </c>
      <c r="Y54" s="9">
        <f t="shared" si="19"/>
        <v>5.9737156511346663E-4</v>
      </c>
      <c r="Z54" s="9">
        <f t="shared" si="19"/>
        <v>1.1723329425557859E-3</v>
      </c>
      <c r="AA54" s="9">
        <f t="shared" si="19"/>
        <v>2.2662889518413921E-3</v>
      </c>
      <c r="AB54" s="9">
        <f t="shared" si="19"/>
        <v>8.1395348837209631E-3</v>
      </c>
      <c r="AC54" s="9">
        <f t="shared" si="19"/>
        <v>4.0253018976422576E-3</v>
      </c>
    </row>
    <row r="55" spans="1:29" x14ac:dyDescent="0.35">
      <c r="A55" s="15" t="s">
        <v>30</v>
      </c>
      <c r="B55" s="15">
        <v>2022</v>
      </c>
      <c r="C55" s="15" t="s">
        <v>46</v>
      </c>
      <c r="D55" s="9">
        <f t="shared" si="1"/>
        <v>1.1384062312762167E-2</v>
      </c>
      <c r="E55" s="9">
        <f t="shared" si="1"/>
        <v>-1.4478764478763656E-3</v>
      </c>
      <c r="F55" s="9">
        <f t="shared" ref="F55:AC55" si="20">IFERROR((F25-F24)/F24,0)</f>
        <v>4.9389567147613798E-2</v>
      </c>
      <c r="G55" s="9">
        <f t="shared" si="20"/>
        <v>6.3842135809634021E-3</v>
      </c>
      <c r="H55" s="9">
        <f t="shared" si="20"/>
        <v>-5.1546391752574393E-4</v>
      </c>
      <c r="I55" s="9">
        <f t="shared" si="20"/>
        <v>-1.5084852294154657E-2</v>
      </c>
      <c r="J55" s="9">
        <f t="shared" si="20"/>
        <v>-0.12470862470862475</v>
      </c>
      <c r="K55" s="9">
        <f t="shared" si="20"/>
        <v>1.7626321974148729E-3</v>
      </c>
      <c r="L55" s="9">
        <f t="shared" si="20"/>
        <v>-2.4691358024691123E-3</v>
      </c>
      <c r="M55" s="9">
        <f t="shared" si="20"/>
        <v>1.3183593749999944E-2</v>
      </c>
      <c r="N55" s="9">
        <f t="shared" si="20"/>
        <v>2.2675736961451569E-3</v>
      </c>
      <c r="O55" s="9">
        <f t="shared" si="20"/>
        <v>4.2803638309255373E-3</v>
      </c>
      <c r="P55" s="9">
        <f t="shared" si="20"/>
        <v>-1.2457531143827796E-2</v>
      </c>
      <c r="Q55" s="9">
        <f t="shared" si="20"/>
        <v>2.0460358056266273E-3</v>
      </c>
      <c r="R55" s="9">
        <f t="shared" si="20"/>
        <v>4.8076923076923383E-3</v>
      </c>
      <c r="S55" s="9">
        <f t="shared" si="20"/>
        <v>3.7796976241901573E-3</v>
      </c>
      <c r="T55" s="9">
        <f t="shared" si="20"/>
        <v>4.8154093097913624E-3</v>
      </c>
      <c r="U55" s="9">
        <f t="shared" si="20"/>
        <v>0</v>
      </c>
      <c r="V55" s="9">
        <f t="shared" si="20"/>
        <v>4.9477735019241654E-3</v>
      </c>
      <c r="W55" s="9">
        <f t="shared" si="20"/>
        <v>5.1282051282051603E-3</v>
      </c>
      <c r="X55" s="9">
        <f t="shared" si="20"/>
        <v>6.5825562260010346E-3</v>
      </c>
      <c r="Y55" s="9">
        <f t="shared" si="20"/>
        <v>1.7910447761194709E-3</v>
      </c>
      <c r="Z55" s="9">
        <f t="shared" si="20"/>
        <v>2.3419203747071268E-3</v>
      </c>
      <c r="AA55" s="9">
        <f t="shared" si="20"/>
        <v>2.2611644997173864E-3</v>
      </c>
      <c r="AB55" s="9">
        <f t="shared" si="20"/>
        <v>1.32641291810841E-2</v>
      </c>
      <c r="AC55" s="9">
        <f t="shared" si="20"/>
        <v>5.1546391752577648E-3</v>
      </c>
    </row>
    <row r="56" spans="1:29" x14ac:dyDescent="0.35">
      <c r="A56" s="15" t="s">
        <v>30</v>
      </c>
      <c r="B56" s="15">
        <v>2023</v>
      </c>
      <c r="C56" s="15" t="s">
        <v>31</v>
      </c>
      <c r="D56" s="9">
        <f t="shared" si="1"/>
        <v>3.0805687203791399E-2</v>
      </c>
      <c r="E56" s="9">
        <f t="shared" si="1"/>
        <v>6.7665538907685143E-3</v>
      </c>
      <c r="F56" s="9">
        <f t="shared" ref="F56:AC56" si="21">IFERROR((F26-F25)/F25,0)</f>
        <v>2.009518773135913E-2</v>
      </c>
      <c r="G56" s="9">
        <f t="shared" si="21"/>
        <v>5.1903114186851538E-3</v>
      </c>
      <c r="H56" s="9">
        <f t="shared" si="21"/>
        <v>-6.7044868488912394E-3</v>
      </c>
      <c r="I56" s="9">
        <f t="shared" si="21"/>
        <v>-2.5526483726865173E-3</v>
      </c>
      <c r="J56" s="9">
        <f t="shared" si="21"/>
        <v>-4.8601864181091768E-2</v>
      </c>
      <c r="K56" s="9">
        <f t="shared" si="21"/>
        <v>1.173020527859171E-3</v>
      </c>
      <c r="L56" s="9">
        <f t="shared" si="21"/>
        <v>-7.4257425742574722E-3</v>
      </c>
      <c r="M56" s="9">
        <f t="shared" si="21"/>
        <v>1.4457831325301205E-2</v>
      </c>
      <c r="N56" s="9">
        <f t="shared" si="21"/>
        <v>5.6561085972847464E-4</v>
      </c>
      <c r="O56" s="9">
        <f t="shared" si="21"/>
        <v>4.2621204049014989E-3</v>
      </c>
      <c r="P56" s="9">
        <f t="shared" si="21"/>
        <v>3.4403669724770315E-3</v>
      </c>
      <c r="Q56" s="9">
        <f t="shared" si="21"/>
        <v>5.1046452271567124E-3</v>
      </c>
      <c r="R56" s="9">
        <f t="shared" si="21"/>
        <v>4.7846889952153412E-3</v>
      </c>
      <c r="S56" s="9">
        <f t="shared" si="21"/>
        <v>2.1516944593867977E-3</v>
      </c>
      <c r="T56" s="9">
        <f t="shared" si="21"/>
        <v>4.2598509052182267E-3</v>
      </c>
      <c r="U56" s="9">
        <f t="shared" si="21"/>
        <v>0</v>
      </c>
      <c r="V56" s="9">
        <f t="shared" si="21"/>
        <v>2.1881838074397004E-3</v>
      </c>
      <c r="W56" s="9">
        <f t="shared" si="21"/>
        <v>4.5351473922901524E-3</v>
      </c>
      <c r="X56" s="9">
        <f t="shared" si="21"/>
        <v>6.539509536784679E-3</v>
      </c>
      <c r="Y56" s="9">
        <f t="shared" si="21"/>
        <v>2.3837902264599357E-3</v>
      </c>
      <c r="Z56" s="9">
        <f t="shared" si="21"/>
        <v>3.5046728971963948E-3</v>
      </c>
      <c r="AA56" s="9">
        <f t="shared" si="21"/>
        <v>2.8200789622109417E-3</v>
      </c>
      <c r="AB56" s="9">
        <f t="shared" si="21"/>
        <v>1.5367103016505505E-2</v>
      </c>
      <c r="AC56" s="9">
        <f t="shared" si="21"/>
        <v>5.6980056980056983E-3</v>
      </c>
    </row>
    <row r="57" spans="1:29" x14ac:dyDescent="0.35">
      <c r="A57" s="15" t="s">
        <v>30</v>
      </c>
      <c r="B57" s="15">
        <v>2023</v>
      </c>
      <c r="C57" s="15" t="s">
        <v>35</v>
      </c>
      <c r="D57" s="9">
        <f t="shared" si="1"/>
        <v>1.1494252873562566E-3</v>
      </c>
      <c r="E57" s="9">
        <f t="shared" si="1"/>
        <v>-1.4882381180989066E-2</v>
      </c>
      <c r="F57" s="9">
        <f t="shared" ref="F57:AC57" si="22">IFERROR((F27-F26)/F26,0)</f>
        <v>-9.8496630378434424E-2</v>
      </c>
      <c r="G57" s="9">
        <f t="shared" si="22"/>
        <v>1.5490533562822654E-2</v>
      </c>
      <c r="H57" s="9">
        <f t="shared" si="22"/>
        <v>-4.7767393561786026E-2</v>
      </c>
      <c r="I57" s="9">
        <f t="shared" si="22"/>
        <v>6.973768394113869E-2</v>
      </c>
      <c r="J57" s="9">
        <f t="shared" si="22"/>
        <v>-1.3995801259622112E-2</v>
      </c>
      <c r="K57" s="9">
        <f t="shared" si="22"/>
        <v>-1.7574692442881251E-3</v>
      </c>
      <c r="L57" s="9">
        <f t="shared" si="22"/>
        <v>-9.9750623441396749E-3</v>
      </c>
      <c r="M57" s="9">
        <f t="shared" si="22"/>
        <v>7.6009501187648187E-3</v>
      </c>
      <c r="N57" s="9">
        <f t="shared" si="22"/>
        <v>3.9570378745053059E-3</v>
      </c>
      <c r="O57" s="9">
        <f t="shared" si="22"/>
        <v>7.4270557029178022E-3</v>
      </c>
      <c r="P57" s="9">
        <f t="shared" si="22"/>
        <v>-1.1428571428570779E-3</v>
      </c>
      <c r="Q57" s="9">
        <f t="shared" si="22"/>
        <v>7.1102082275266917E-3</v>
      </c>
      <c r="R57" s="9">
        <f t="shared" si="22"/>
        <v>5.2910052910052907E-3</v>
      </c>
      <c r="S57" s="9">
        <f t="shared" si="22"/>
        <v>3.7573805689747105E-3</v>
      </c>
      <c r="T57" s="9">
        <f t="shared" si="22"/>
        <v>5.3022269353128317E-3</v>
      </c>
      <c r="U57" s="9">
        <f t="shared" si="22"/>
        <v>0</v>
      </c>
      <c r="V57" s="9">
        <f t="shared" si="22"/>
        <v>-8.7336244541484417E-3</v>
      </c>
      <c r="W57" s="9">
        <f t="shared" si="22"/>
        <v>7.9006772009029679E-3</v>
      </c>
      <c r="X57" s="9">
        <f t="shared" si="22"/>
        <v>1.0286951813752061E-2</v>
      </c>
      <c r="Y57" s="9">
        <f t="shared" si="22"/>
        <v>4.756242568371055E-3</v>
      </c>
      <c r="Z57" s="9">
        <f t="shared" si="22"/>
        <v>5.8207217694994174E-3</v>
      </c>
      <c r="AA57" s="9">
        <f t="shared" si="22"/>
        <v>3.9370078740156838E-3</v>
      </c>
      <c r="AB57" s="9">
        <f t="shared" si="22"/>
        <v>1.2892376681614253E-2</v>
      </c>
      <c r="AC57" s="9">
        <f t="shared" si="22"/>
        <v>7.932011331444791E-3</v>
      </c>
    </row>
    <row r="58" spans="1:29" x14ac:dyDescent="0.35">
      <c r="A58" s="15" t="s">
        <v>30</v>
      </c>
      <c r="B58" s="15">
        <v>2023</v>
      </c>
      <c r="C58" s="15" t="s">
        <v>36</v>
      </c>
      <c r="D58" s="9">
        <f t="shared" si="1"/>
        <v>5.7405281285891356E-4</v>
      </c>
      <c r="E58" s="9">
        <f t="shared" si="1"/>
        <v>0</v>
      </c>
      <c r="F58" s="9">
        <f t="shared" ref="F58:AC58" si="23">IFERROR((F28-F27)/F27,0)</f>
        <v>0</v>
      </c>
      <c r="G58" s="9">
        <f t="shared" si="23"/>
        <v>0</v>
      </c>
      <c r="H58" s="9">
        <f t="shared" si="23"/>
        <v>-5.4525627044707916E-4</v>
      </c>
      <c r="I58" s="9">
        <f t="shared" si="23"/>
        <v>0</v>
      </c>
      <c r="J58" s="9">
        <f t="shared" si="23"/>
        <v>0</v>
      </c>
      <c r="K58" s="9">
        <f t="shared" si="23"/>
        <v>5.8685446009386333E-4</v>
      </c>
      <c r="L58" s="9">
        <f t="shared" si="23"/>
        <v>0</v>
      </c>
      <c r="M58" s="9">
        <f t="shared" si="23"/>
        <v>0</v>
      </c>
      <c r="N58" s="9">
        <f t="shared" si="23"/>
        <v>0</v>
      </c>
      <c r="O58" s="9">
        <f t="shared" si="23"/>
        <v>0</v>
      </c>
      <c r="P58" s="9">
        <f t="shared" si="23"/>
        <v>0</v>
      </c>
      <c r="Q58" s="9">
        <f t="shared" si="23"/>
        <v>5.0428643469487802E-4</v>
      </c>
      <c r="R58" s="9">
        <f t="shared" si="23"/>
        <v>0</v>
      </c>
      <c r="S58" s="9">
        <f t="shared" si="23"/>
        <v>0</v>
      </c>
      <c r="T58" s="9">
        <f t="shared" si="23"/>
        <v>0</v>
      </c>
      <c r="U58" s="9">
        <f t="shared" si="23"/>
        <v>0</v>
      </c>
      <c r="V58" s="9">
        <f t="shared" si="23"/>
        <v>-1.1013215859030211E-3</v>
      </c>
      <c r="W58" s="9">
        <f t="shared" si="23"/>
        <v>0</v>
      </c>
      <c r="X58" s="9">
        <f t="shared" si="23"/>
        <v>0</v>
      </c>
      <c r="Y58" s="9">
        <f t="shared" si="23"/>
        <v>0</v>
      </c>
      <c r="Z58" s="9">
        <f t="shared" si="23"/>
        <v>0</v>
      </c>
      <c r="AA58" s="9">
        <f t="shared" si="23"/>
        <v>0</v>
      </c>
      <c r="AB58" s="9">
        <f t="shared" si="23"/>
        <v>0</v>
      </c>
      <c r="AC58" s="9">
        <f t="shared" si="23"/>
        <v>0</v>
      </c>
    </row>
    <row r="59" spans="1:29" x14ac:dyDescent="0.35">
      <c r="A59" s="15" t="s">
        <v>30</v>
      </c>
      <c r="B59" s="15">
        <v>2023</v>
      </c>
      <c r="C59" s="15" t="s">
        <v>37</v>
      </c>
      <c r="D59" s="9">
        <f t="shared" si="1"/>
        <v>-5.737234652897303E-3</v>
      </c>
      <c r="E59" s="9">
        <f t="shared" si="1"/>
        <v>8.2846003898636306E-3</v>
      </c>
      <c r="F59" s="9">
        <f t="shared" ref="F59:AC59" si="24">IFERROR((F29-F28)/F28,0)</f>
        <v>-3.4502587694077054E-2</v>
      </c>
      <c r="G59" s="9">
        <f t="shared" si="24"/>
        <v>6.7796610169490882E-3</v>
      </c>
      <c r="H59" s="9">
        <f t="shared" si="24"/>
        <v>-2.61865793780688E-2</v>
      </c>
      <c r="I59" s="9">
        <f t="shared" si="24"/>
        <v>3.8875598086124404E-2</v>
      </c>
      <c r="J59" s="9">
        <f t="shared" si="24"/>
        <v>1.3484740951029138E-2</v>
      </c>
      <c r="K59" s="9">
        <f t="shared" si="24"/>
        <v>1.3489736070381298E-2</v>
      </c>
      <c r="L59" s="9">
        <f t="shared" si="24"/>
        <v>1.0915197313182296E-2</v>
      </c>
      <c r="M59" s="9">
        <f t="shared" si="24"/>
        <v>1.6030174446016059E-2</v>
      </c>
      <c r="N59" s="9">
        <f t="shared" si="24"/>
        <v>3.3783783783783465E-3</v>
      </c>
      <c r="O59" s="9">
        <f t="shared" si="24"/>
        <v>3.1595576619273002E-3</v>
      </c>
      <c r="P59" s="9">
        <f t="shared" si="24"/>
        <v>4.0045766590388367E-3</v>
      </c>
      <c r="Q59" s="9">
        <f t="shared" si="24"/>
        <v>5.5443548387096482E-3</v>
      </c>
      <c r="R59" s="9">
        <f t="shared" si="24"/>
        <v>3.6842105263157295E-3</v>
      </c>
      <c r="S59" s="9">
        <f t="shared" si="24"/>
        <v>1.6042780748663709E-3</v>
      </c>
      <c r="T59" s="9">
        <f t="shared" si="24"/>
        <v>3.1645569620252865E-3</v>
      </c>
      <c r="U59" s="9">
        <f t="shared" si="24"/>
        <v>0</v>
      </c>
      <c r="V59" s="9">
        <f t="shared" si="24"/>
        <v>5.5126791620724541E-4</v>
      </c>
      <c r="W59" s="9">
        <f t="shared" si="24"/>
        <v>2.7995520716685329E-3</v>
      </c>
      <c r="X59" s="9">
        <f t="shared" si="24"/>
        <v>3.2154340836012558E-3</v>
      </c>
      <c r="Y59" s="9">
        <f t="shared" si="24"/>
        <v>2.3668639053254772E-3</v>
      </c>
      <c r="Z59" s="9">
        <f t="shared" si="24"/>
        <v>2.3148148148146833E-3</v>
      </c>
      <c r="AA59" s="9">
        <f t="shared" si="24"/>
        <v>5.0420168067227206E-3</v>
      </c>
      <c r="AB59" s="9">
        <f t="shared" si="24"/>
        <v>1.7155506364139584E-2</v>
      </c>
      <c r="AC59" s="9">
        <f t="shared" si="24"/>
        <v>5.6211354693648111E-3</v>
      </c>
    </row>
    <row r="60" spans="1:29" x14ac:dyDescent="0.35">
      <c r="A60" s="15" t="s">
        <v>30</v>
      </c>
      <c r="B60" s="15">
        <v>2023</v>
      </c>
      <c r="C60" s="15" t="s">
        <v>38</v>
      </c>
      <c r="D60" s="9">
        <f t="shared" si="1"/>
        <v>-5.7703404500878666E-4</v>
      </c>
      <c r="E60" s="9">
        <f t="shared" si="1"/>
        <v>2.2232962783953574E-2</v>
      </c>
      <c r="F60" s="9">
        <f t="shared" ref="F60:AC60" si="25">IFERROR((F30-F29)/F29,0)</f>
        <v>1.8463371054198895E-2</v>
      </c>
      <c r="G60" s="9">
        <f t="shared" si="25"/>
        <v>7.8563411896745549E-3</v>
      </c>
      <c r="H60" s="9">
        <f t="shared" si="25"/>
        <v>-2.913165266106436E-2</v>
      </c>
      <c r="I60" s="9">
        <f t="shared" si="25"/>
        <v>-2.7058146229130622E-2</v>
      </c>
      <c r="J60" s="9">
        <f t="shared" si="25"/>
        <v>4.1316526610644097E-2</v>
      </c>
      <c r="K60" s="9">
        <f t="shared" si="25"/>
        <v>1.2152777777777743E-2</v>
      </c>
      <c r="L60" s="9">
        <f t="shared" si="25"/>
        <v>1.2458471760797342E-2</v>
      </c>
      <c r="M60" s="9">
        <f t="shared" si="25"/>
        <v>2.5522041763341066E-2</v>
      </c>
      <c r="N60" s="9">
        <f t="shared" si="25"/>
        <v>2.8058361391694727E-3</v>
      </c>
      <c r="O60" s="9">
        <f t="shared" si="25"/>
        <v>3.1496062992125685E-3</v>
      </c>
      <c r="P60" s="9">
        <f t="shared" si="25"/>
        <v>7.4074074074074719E-3</v>
      </c>
      <c r="Q60" s="9">
        <f t="shared" si="25"/>
        <v>2.0050125313283494E-3</v>
      </c>
      <c r="R60" s="9">
        <f t="shared" si="25"/>
        <v>2.6219192448872575E-3</v>
      </c>
      <c r="S60" s="9">
        <f t="shared" si="25"/>
        <v>3.2034169781099534E-3</v>
      </c>
      <c r="T60" s="9">
        <f t="shared" si="25"/>
        <v>3.1545741324922332E-3</v>
      </c>
      <c r="U60" s="9">
        <f t="shared" si="25"/>
        <v>0</v>
      </c>
      <c r="V60" s="9">
        <f t="shared" si="25"/>
        <v>5.5096418732782371E-3</v>
      </c>
      <c r="W60" s="9">
        <f t="shared" si="25"/>
        <v>3.9084310441095315E-3</v>
      </c>
      <c r="X60" s="9">
        <f t="shared" si="25"/>
        <v>3.2051282051283269E-3</v>
      </c>
      <c r="Y60" s="9">
        <f t="shared" si="25"/>
        <v>1.7709563164107611E-3</v>
      </c>
      <c r="Z60" s="9">
        <f t="shared" si="25"/>
        <v>3.4642032332564826E-3</v>
      </c>
      <c r="AA60" s="9">
        <f t="shared" si="25"/>
        <v>5.0167224080267872E-3</v>
      </c>
      <c r="AB60" s="9">
        <f t="shared" si="25"/>
        <v>5.9847660500543754E-3</v>
      </c>
      <c r="AC60" s="9">
        <f t="shared" si="25"/>
        <v>3.3538289547232771E-3</v>
      </c>
    </row>
  </sheetData>
  <mergeCells count="1">
    <mergeCell ref="A33:AC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A9A8-4604-441A-B586-6415B4C5E4ED}">
  <dimension ref="A3:AC61"/>
  <sheetViews>
    <sheetView topLeftCell="Q27" workbookViewId="0">
      <selection activeCell="U35" sqref="U35"/>
    </sheetView>
  </sheetViews>
  <sheetFormatPr defaultRowHeight="14.5" x14ac:dyDescent="0.35"/>
  <cols>
    <col min="1" max="2" width="6" bestFit="1" customWidth="1"/>
    <col min="3" max="3" width="9.90625" bestFit="1" customWidth="1"/>
    <col min="4" max="4" width="18.54296875" bestFit="1" customWidth="1"/>
    <col min="5" max="5" width="12.26953125" bestFit="1" customWidth="1"/>
    <col min="6" max="6" width="5.81640625" bestFit="1" customWidth="1"/>
    <col min="7" max="7" width="15.90625" bestFit="1" customWidth="1"/>
    <col min="8" max="8" width="11.08984375" bestFit="1" customWidth="1"/>
    <col min="9" max="9" width="5.81640625" bestFit="1" customWidth="1"/>
    <col min="10" max="10" width="9.81640625" bestFit="1" customWidth="1"/>
    <col min="11" max="11" width="17.6328125" bestFit="1" customWidth="1"/>
    <col min="12" max="12" width="21.453125" bestFit="1" customWidth="1"/>
    <col min="13" max="13" width="5.90625" bestFit="1" customWidth="1"/>
    <col min="14" max="14" width="21.36328125" bestFit="1" customWidth="1"/>
    <col min="15" max="15" width="31.1796875" bestFit="1" customWidth="1"/>
    <col min="16" max="16" width="17.7265625" bestFit="1" customWidth="1"/>
    <col min="17" max="17" width="25.26953125" bestFit="1" customWidth="1"/>
    <col min="18" max="18" width="7.6328125" bestFit="1" customWidth="1"/>
    <col min="20" max="20" width="19.54296875" bestFit="1" customWidth="1"/>
    <col min="21" max="21" width="7.54296875" bestFit="1" customWidth="1"/>
    <col min="22" max="22" width="11.90625" bestFit="1" customWidth="1"/>
    <col min="23" max="23" width="26.26953125" bestFit="1" customWidth="1"/>
    <col min="24" max="24" width="6.26953125" bestFit="1" customWidth="1"/>
    <col min="25" max="25" width="26.36328125" bestFit="1" customWidth="1"/>
    <col min="26" max="26" width="24" bestFit="1" customWidth="1"/>
    <col min="27" max="27" width="9.08984375" bestFit="1" customWidth="1"/>
    <col min="28" max="28" width="21.90625" bestFit="1" customWidth="1"/>
    <col min="29" max="29" width="12.6328125" bestFit="1" customWidth="1"/>
  </cols>
  <sheetData>
    <row r="3" spans="1:29" x14ac:dyDescent="0.35">
      <c r="A3" t="s">
        <v>0</v>
      </c>
      <c r="B3" t="s">
        <v>33</v>
      </c>
    </row>
    <row r="5" spans="1:29" x14ac:dyDescent="0.35">
      <c r="A5" s="15" t="s">
        <v>0</v>
      </c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I5" s="15" t="s">
        <v>8</v>
      </c>
      <c r="J5" s="15" t="s">
        <v>9</v>
      </c>
      <c r="K5" s="15" t="s">
        <v>10</v>
      </c>
      <c r="L5" s="15" t="s">
        <v>11</v>
      </c>
      <c r="M5" s="15" t="s">
        <v>12</v>
      </c>
      <c r="N5" s="15" t="s">
        <v>13</v>
      </c>
      <c r="O5" s="15" t="s">
        <v>74</v>
      </c>
      <c r="P5" s="15" t="s">
        <v>15</v>
      </c>
      <c r="Q5" s="15" t="s">
        <v>73</v>
      </c>
      <c r="R5" s="15" t="s">
        <v>17</v>
      </c>
      <c r="S5" s="15" t="s">
        <v>18</v>
      </c>
      <c r="T5" s="15" t="s">
        <v>19</v>
      </c>
      <c r="U5" s="15" t="s">
        <v>20</v>
      </c>
      <c r="V5" s="15" t="s">
        <v>21</v>
      </c>
      <c r="W5" s="15" t="s">
        <v>22</v>
      </c>
      <c r="X5" s="15" t="s">
        <v>23</v>
      </c>
      <c r="Y5" s="15" t="s">
        <v>24</v>
      </c>
      <c r="Z5" s="15" t="s">
        <v>25</v>
      </c>
      <c r="AA5" s="15" t="s">
        <v>26</v>
      </c>
      <c r="AB5" s="15" t="s">
        <v>27</v>
      </c>
      <c r="AC5" s="15" t="s">
        <v>28</v>
      </c>
    </row>
    <row r="6" spans="1:29" x14ac:dyDescent="0.35">
      <c r="A6" s="5" t="s">
        <v>33</v>
      </c>
      <c r="B6" s="5">
        <v>2021</v>
      </c>
      <c r="C6" s="5" t="s">
        <v>37</v>
      </c>
      <c r="D6" s="11">
        <v>147.6</v>
      </c>
      <c r="E6" s="5">
        <v>202.5</v>
      </c>
      <c r="F6" s="5">
        <v>166.4</v>
      </c>
      <c r="G6" s="5">
        <v>156</v>
      </c>
      <c r="H6" s="5">
        <v>161.4</v>
      </c>
      <c r="I6" s="5">
        <v>168.8</v>
      </c>
      <c r="J6" s="5">
        <v>161.6</v>
      </c>
      <c r="K6" s="5">
        <v>162.80000000000001</v>
      </c>
      <c r="L6" s="5">
        <v>114.8</v>
      </c>
      <c r="M6" s="5">
        <v>162.80000000000001</v>
      </c>
      <c r="N6" s="5">
        <v>151.5</v>
      </c>
      <c r="O6" s="5">
        <v>171.4</v>
      </c>
      <c r="P6" s="5">
        <v>162</v>
      </c>
      <c r="Q6" s="5">
        <v>194.4</v>
      </c>
      <c r="R6" s="5">
        <v>155.9</v>
      </c>
      <c r="S6" s="5">
        <v>139.30000000000001</v>
      </c>
      <c r="T6" s="5">
        <v>153.4</v>
      </c>
      <c r="U6" s="5">
        <v>161.4</v>
      </c>
      <c r="V6" s="5">
        <v>154.9</v>
      </c>
      <c r="W6" s="5">
        <v>147.6</v>
      </c>
      <c r="X6" s="5">
        <v>157.5</v>
      </c>
      <c r="Y6" s="5">
        <v>142.1</v>
      </c>
      <c r="Z6" s="5">
        <v>149.1</v>
      </c>
      <c r="AA6" s="5">
        <v>157.6</v>
      </c>
      <c r="AB6" s="5">
        <v>156.6</v>
      </c>
      <c r="AC6" s="5">
        <v>150.5</v>
      </c>
    </row>
    <row r="7" spans="1:29" x14ac:dyDescent="0.35">
      <c r="A7" s="5" t="s">
        <v>33</v>
      </c>
      <c r="B7" s="5">
        <v>2021</v>
      </c>
      <c r="C7" s="5" t="s">
        <v>38</v>
      </c>
      <c r="D7" s="11">
        <v>148.80000000000001</v>
      </c>
      <c r="E7" s="5">
        <v>204.3</v>
      </c>
      <c r="F7" s="5">
        <v>173</v>
      </c>
      <c r="G7" s="5">
        <v>156.5</v>
      </c>
      <c r="H7" s="5">
        <v>168.8</v>
      </c>
      <c r="I7" s="5">
        <v>172.5</v>
      </c>
      <c r="J7" s="5">
        <v>166.5</v>
      </c>
      <c r="K7" s="5">
        <v>165.9</v>
      </c>
      <c r="L7" s="5">
        <v>115.9</v>
      </c>
      <c r="M7" s="5">
        <v>165.2</v>
      </c>
      <c r="N7" s="5">
        <v>152</v>
      </c>
      <c r="O7" s="5">
        <v>171.1</v>
      </c>
      <c r="P7" s="5">
        <v>164.2</v>
      </c>
      <c r="Q7" s="5">
        <v>198.2</v>
      </c>
      <c r="R7" s="5">
        <v>156.5</v>
      </c>
      <c r="S7" s="5">
        <v>140.19999999999999</v>
      </c>
      <c r="T7" s="5">
        <v>154.1</v>
      </c>
      <c r="U7" s="5">
        <v>161.6</v>
      </c>
      <c r="V7" s="5">
        <v>155.5</v>
      </c>
      <c r="W7" s="5">
        <v>150.1</v>
      </c>
      <c r="X7" s="5">
        <v>160.4</v>
      </c>
      <c r="Y7" s="5">
        <v>145</v>
      </c>
      <c r="Z7" s="5">
        <v>152.6</v>
      </c>
      <c r="AA7" s="5">
        <v>156.6</v>
      </c>
      <c r="AB7" s="5">
        <v>157.5</v>
      </c>
      <c r="AC7" s="5">
        <v>152.30000000000001</v>
      </c>
    </row>
    <row r="8" spans="1:29" x14ac:dyDescent="0.35">
      <c r="A8" s="5" t="s">
        <v>33</v>
      </c>
      <c r="B8" s="5">
        <v>2021</v>
      </c>
      <c r="C8" s="5" t="s">
        <v>39</v>
      </c>
      <c r="D8" s="11">
        <v>149.19999999999999</v>
      </c>
      <c r="E8" s="5">
        <v>205.5</v>
      </c>
      <c r="F8" s="5">
        <v>182.8</v>
      </c>
      <c r="G8" s="5">
        <v>156.5</v>
      </c>
      <c r="H8" s="5">
        <v>172.2</v>
      </c>
      <c r="I8" s="5">
        <v>171.5</v>
      </c>
      <c r="J8" s="5">
        <v>176.2</v>
      </c>
      <c r="K8" s="5">
        <v>166.9</v>
      </c>
      <c r="L8" s="5">
        <v>116.1</v>
      </c>
      <c r="M8" s="5">
        <v>165.5</v>
      </c>
      <c r="N8" s="5">
        <v>152.30000000000001</v>
      </c>
      <c r="O8" s="5">
        <v>173.3</v>
      </c>
      <c r="P8" s="5">
        <v>166.2</v>
      </c>
      <c r="Q8" s="5">
        <v>195.6</v>
      </c>
      <c r="R8" s="5">
        <v>157.30000000000001</v>
      </c>
      <c r="S8" s="5">
        <v>140.5</v>
      </c>
      <c r="T8" s="5">
        <v>154.80000000000001</v>
      </c>
      <c r="U8" s="5">
        <v>160.5</v>
      </c>
      <c r="V8" s="5">
        <v>156.1</v>
      </c>
      <c r="W8" s="5">
        <v>149.80000000000001</v>
      </c>
      <c r="X8" s="5">
        <v>160.80000000000001</v>
      </c>
      <c r="Y8" s="5">
        <v>147.5</v>
      </c>
      <c r="Z8" s="5">
        <v>150.69999999999999</v>
      </c>
      <c r="AA8" s="5">
        <v>158.1</v>
      </c>
      <c r="AB8" s="5">
        <v>158</v>
      </c>
      <c r="AC8" s="5">
        <v>153.4</v>
      </c>
    </row>
    <row r="9" spans="1:29" x14ac:dyDescent="0.35">
      <c r="A9" s="5" t="s">
        <v>33</v>
      </c>
      <c r="B9" s="5">
        <v>2021</v>
      </c>
      <c r="C9" s="5" t="s">
        <v>40</v>
      </c>
      <c r="D9" s="11">
        <v>149.1</v>
      </c>
      <c r="E9" s="5">
        <v>210.9</v>
      </c>
      <c r="F9" s="5">
        <v>185</v>
      </c>
      <c r="G9" s="5">
        <v>158.19999999999999</v>
      </c>
      <c r="H9" s="5">
        <v>170.6</v>
      </c>
      <c r="I9" s="5">
        <v>170.9</v>
      </c>
      <c r="J9" s="5">
        <v>186.4</v>
      </c>
      <c r="K9" s="5">
        <v>164.7</v>
      </c>
      <c r="L9" s="5">
        <v>115.7</v>
      </c>
      <c r="M9" s="5">
        <v>165.5</v>
      </c>
      <c r="N9" s="5">
        <v>153.4</v>
      </c>
      <c r="O9" s="5">
        <v>173.5</v>
      </c>
      <c r="P9" s="5">
        <v>167.9</v>
      </c>
      <c r="Q9" s="5">
        <v>195.5</v>
      </c>
      <c r="R9" s="5">
        <v>157.9</v>
      </c>
      <c r="S9" s="5">
        <v>141.9</v>
      </c>
      <c r="T9" s="5">
        <v>155.5</v>
      </c>
      <c r="U9" s="5">
        <v>161.5</v>
      </c>
      <c r="V9" s="5">
        <v>157.69999999999999</v>
      </c>
      <c r="W9" s="5">
        <v>150.69999999999999</v>
      </c>
      <c r="X9" s="5">
        <v>161.5</v>
      </c>
      <c r="Y9" s="5">
        <v>149.5</v>
      </c>
      <c r="Z9" s="5">
        <v>151.19999999999999</v>
      </c>
      <c r="AA9" s="5">
        <v>160.30000000000001</v>
      </c>
      <c r="AB9" s="5">
        <v>159.6</v>
      </c>
      <c r="AC9" s="5">
        <v>155</v>
      </c>
    </row>
    <row r="10" spans="1:29" x14ac:dyDescent="0.35">
      <c r="A10" s="5" t="s">
        <v>33</v>
      </c>
      <c r="B10" s="5">
        <v>2021</v>
      </c>
      <c r="C10" s="5" t="s">
        <v>41</v>
      </c>
      <c r="D10" s="11">
        <v>149.30000000000001</v>
      </c>
      <c r="E10" s="5">
        <v>207.4</v>
      </c>
      <c r="F10" s="5">
        <v>174.1</v>
      </c>
      <c r="G10" s="5">
        <v>159.19999999999999</v>
      </c>
      <c r="H10" s="5">
        <v>175</v>
      </c>
      <c r="I10" s="5">
        <v>161.30000000000001</v>
      </c>
      <c r="J10" s="5">
        <v>183.3</v>
      </c>
      <c r="K10" s="5">
        <v>164.5</v>
      </c>
      <c r="L10" s="5">
        <v>120.4</v>
      </c>
      <c r="M10" s="5">
        <v>166.2</v>
      </c>
      <c r="N10" s="5">
        <v>154.80000000000001</v>
      </c>
      <c r="O10" s="5">
        <v>175.1</v>
      </c>
      <c r="P10" s="5">
        <v>167.3</v>
      </c>
      <c r="Q10" s="5">
        <v>196.5</v>
      </c>
      <c r="R10" s="5">
        <v>159.80000000000001</v>
      </c>
      <c r="S10" s="5">
        <v>143.6</v>
      </c>
      <c r="T10" s="5">
        <v>157.30000000000001</v>
      </c>
      <c r="U10" s="5">
        <v>162.1</v>
      </c>
      <c r="V10" s="5">
        <v>160.69999999999999</v>
      </c>
      <c r="W10" s="5">
        <v>153.19999999999999</v>
      </c>
      <c r="X10" s="5">
        <v>162.80000000000001</v>
      </c>
      <c r="Y10" s="5">
        <v>150.4</v>
      </c>
      <c r="Z10" s="5">
        <v>153.69999999999999</v>
      </c>
      <c r="AA10" s="5">
        <v>160.4</v>
      </c>
      <c r="AB10" s="5">
        <v>159.6</v>
      </c>
      <c r="AC10" s="5">
        <v>156</v>
      </c>
    </row>
    <row r="11" spans="1:29" x14ac:dyDescent="0.35">
      <c r="A11" s="5" t="s">
        <v>33</v>
      </c>
      <c r="B11" s="5">
        <v>2021</v>
      </c>
      <c r="C11" s="5" t="s">
        <v>42</v>
      </c>
      <c r="D11" s="11">
        <v>149.30000000000001</v>
      </c>
      <c r="E11" s="5">
        <v>207.4</v>
      </c>
      <c r="F11" s="5">
        <v>174.1</v>
      </c>
      <c r="G11" s="5">
        <v>159.1</v>
      </c>
      <c r="H11" s="5">
        <v>175</v>
      </c>
      <c r="I11" s="5">
        <v>161.19999999999999</v>
      </c>
      <c r="J11" s="5">
        <v>183.5</v>
      </c>
      <c r="K11" s="5">
        <v>164.5</v>
      </c>
      <c r="L11" s="5">
        <v>120.4</v>
      </c>
      <c r="M11" s="5">
        <v>166.2</v>
      </c>
      <c r="N11" s="5">
        <v>154.80000000000001</v>
      </c>
      <c r="O11" s="5">
        <v>175.1</v>
      </c>
      <c r="P11" s="5">
        <v>167.3</v>
      </c>
      <c r="Q11" s="5">
        <v>196.5</v>
      </c>
      <c r="R11" s="5">
        <v>159.80000000000001</v>
      </c>
      <c r="S11" s="5">
        <v>143.6</v>
      </c>
      <c r="T11" s="5">
        <v>157.4</v>
      </c>
      <c r="U11" s="5">
        <v>162.1</v>
      </c>
      <c r="V11" s="5">
        <v>160.80000000000001</v>
      </c>
      <c r="W11" s="5">
        <v>153.30000000000001</v>
      </c>
      <c r="X11" s="5">
        <v>162.80000000000001</v>
      </c>
      <c r="Y11" s="5">
        <v>150.5</v>
      </c>
      <c r="Z11" s="5">
        <v>153.9</v>
      </c>
      <c r="AA11" s="5">
        <v>160.30000000000001</v>
      </c>
      <c r="AB11" s="5">
        <v>159.6</v>
      </c>
      <c r="AC11" s="5">
        <v>156</v>
      </c>
    </row>
    <row r="12" spans="1:29" x14ac:dyDescent="0.35">
      <c r="A12" s="5" t="s">
        <v>33</v>
      </c>
      <c r="B12" s="5">
        <v>2021</v>
      </c>
      <c r="C12" s="5" t="s">
        <v>43</v>
      </c>
      <c r="D12" s="11">
        <v>150.1</v>
      </c>
      <c r="E12" s="5">
        <v>208.4</v>
      </c>
      <c r="F12" s="5">
        <v>173</v>
      </c>
      <c r="G12" s="5">
        <v>159.19999999999999</v>
      </c>
      <c r="H12" s="5">
        <v>176.6</v>
      </c>
      <c r="I12" s="5">
        <v>159.30000000000001</v>
      </c>
      <c r="J12" s="5">
        <v>214.4</v>
      </c>
      <c r="K12" s="5">
        <v>165.3</v>
      </c>
      <c r="L12" s="5">
        <v>122.5</v>
      </c>
      <c r="M12" s="5">
        <v>166.8</v>
      </c>
      <c r="N12" s="5">
        <v>155.4</v>
      </c>
      <c r="O12" s="5">
        <v>175.9</v>
      </c>
      <c r="P12" s="5">
        <v>171.5</v>
      </c>
      <c r="Q12" s="5">
        <v>197</v>
      </c>
      <c r="R12" s="5">
        <v>160.80000000000001</v>
      </c>
      <c r="S12" s="5">
        <v>144.4</v>
      </c>
      <c r="T12" s="5">
        <v>158.30000000000001</v>
      </c>
      <c r="U12" s="5">
        <v>163.6</v>
      </c>
      <c r="V12" s="5">
        <v>162.19999999999999</v>
      </c>
      <c r="W12" s="5">
        <v>154.30000000000001</v>
      </c>
      <c r="X12" s="5">
        <v>163.5</v>
      </c>
      <c r="Y12" s="5">
        <v>152.19999999999999</v>
      </c>
      <c r="Z12" s="5">
        <v>155.1</v>
      </c>
      <c r="AA12" s="5">
        <v>160.30000000000001</v>
      </c>
      <c r="AB12" s="5">
        <v>160.30000000000001</v>
      </c>
      <c r="AC12" s="5">
        <v>157</v>
      </c>
    </row>
    <row r="13" spans="1:29" x14ac:dyDescent="0.35">
      <c r="A13" s="5" t="s">
        <v>33</v>
      </c>
      <c r="B13" s="5">
        <v>2021</v>
      </c>
      <c r="C13" s="5" t="s">
        <v>45</v>
      </c>
      <c r="D13" s="11">
        <v>151</v>
      </c>
      <c r="E13" s="5">
        <v>204.9</v>
      </c>
      <c r="F13" s="5">
        <v>175.4</v>
      </c>
      <c r="G13" s="5">
        <v>159.6</v>
      </c>
      <c r="H13" s="5">
        <v>175.8</v>
      </c>
      <c r="I13" s="5">
        <v>160.30000000000001</v>
      </c>
      <c r="J13" s="5">
        <v>229.1</v>
      </c>
      <c r="K13" s="5">
        <v>165.1</v>
      </c>
      <c r="L13" s="5">
        <v>123.1</v>
      </c>
      <c r="M13" s="5">
        <v>167.2</v>
      </c>
      <c r="N13" s="5">
        <v>156.1</v>
      </c>
      <c r="O13" s="5">
        <v>176.8</v>
      </c>
      <c r="P13" s="5">
        <v>173.5</v>
      </c>
      <c r="Q13" s="5">
        <v>197</v>
      </c>
      <c r="R13" s="5">
        <v>162.30000000000001</v>
      </c>
      <c r="S13" s="5">
        <v>145.30000000000001</v>
      </c>
      <c r="T13" s="5">
        <v>159.69999999999999</v>
      </c>
      <c r="U13" s="5">
        <v>164.2</v>
      </c>
      <c r="V13" s="5">
        <v>161.6</v>
      </c>
      <c r="W13" s="5">
        <v>155.19999999999999</v>
      </c>
      <c r="X13" s="5">
        <v>164.2</v>
      </c>
      <c r="Y13" s="5">
        <v>151.19999999999999</v>
      </c>
      <c r="Z13" s="5">
        <v>156.69999999999999</v>
      </c>
      <c r="AA13" s="5">
        <v>160.80000000000001</v>
      </c>
      <c r="AB13" s="5">
        <v>161.80000000000001</v>
      </c>
      <c r="AC13" s="5">
        <v>157.30000000000001</v>
      </c>
    </row>
    <row r="14" spans="1:29" x14ac:dyDescent="0.35">
      <c r="A14" s="5" t="s">
        <v>33</v>
      </c>
      <c r="B14" s="5">
        <v>2021</v>
      </c>
      <c r="C14" s="5" t="s">
        <v>46</v>
      </c>
      <c r="D14" s="11">
        <v>151.6</v>
      </c>
      <c r="E14" s="5">
        <v>202.2</v>
      </c>
      <c r="F14" s="5">
        <v>180</v>
      </c>
      <c r="G14" s="5">
        <v>160</v>
      </c>
      <c r="H14" s="5">
        <v>173.5</v>
      </c>
      <c r="I14" s="5">
        <v>158.30000000000001</v>
      </c>
      <c r="J14" s="5">
        <v>219.5</v>
      </c>
      <c r="K14" s="5">
        <v>164.2</v>
      </c>
      <c r="L14" s="5">
        <v>121.9</v>
      </c>
      <c r="M14" s="5">
        <v>168.2</v>
      </c>
      <c r="N14" s="5">
        <v>156.5</v>
      </c>
      <c r="O14" s="5">
        <v>178.2</v>
      </c>
      <c r="P14" s="5">
        <v>172.2</v>
      </c>
      <c r="Q14" s="5">
        <v>196.8</v>
      </c>
      <c r="R14" s="5">
        <v>163.30000000000001</v>
      </c>
      <c r="S14" s="5">
        <v>146.69999999999999</v>
      </c>
      <c r="T14" s="5">
        <v>160.69999999999999</v>
      </c>
      <c r="U14" s="5">
        <v>163.4</v>
      </c>
      <c r="V14" s="5">
        <v>161.69999999999999</v>
      </c>
      <c r="W14" s="5">
        <v>156</v>
      </c>
      <c r="X14" s="5">
        <v>165.1</v>
      </c>
      <c r="Y14" s="5">
        <v>151.80000000000001</v>
      </c>
      <c r="Z14" s="5">
        <v>157.6</v>
      </c>
      <c r="AA14" s="5">
        <v>160.6</v>
      </c>
      <c r="AB14" s="5">
        <v>162.4</v>
      </c>
      <c r="AC14" s="5">
        <v>157.80000000000001</v>
      </c>
    </row>
    <row r="15" spans="1:29" x14ac:dyDescent="0.35">
      <c r="A15" s="5" t="s">
        <v>33</v>
      </c>
      <c r="B15" s="5">
        <v>2022</v>
      </c>
      <c r="C15" s="5" t="s">
        <v>31</v>
      </c>
      <c r="D15" s="11">
        <v>152.19999999999999</v>
      </c>
      <c r="E15" s="5">
        <v>202.1</v>
      </c>
      <c r="F15" s="5">
        <v>180.1</v>
      </c>
      <c r="G15" s="5">
        <v>160.4</v>
      </c>
      <c r="H15" s="5">
        <v>171</v>
      </c>
      <c r="I15" s="5">
        <v>156.5</v>
      </c>
      <c r="J15" s="5">
        <v>203.6</v>
      </c>
      <c r="K15" s="5">
        <v>163.80000000000001</v>
      </c>
      <c r="L15" s="5">
        <v>121.3</v>
      </c>
      <c r="M15" s="5">
        <v>169.8</v>
      </c>
      <c r="N15" s="5">
        <v>156.6</v>
      </c>
      <c r="O15" s="5">
        <v>179</v>
      </c>
      <c r="P15" s="5">
        <v>170.3</v>
      </c>
      <c r="Q15" s="5">
        <v>196.4</v>
      </c>
      <c r="R15" s="5">
        <v>164.7</v>
      </c>
      <c r="S15" s="5">
        <v>148.5</v>
      </c>
      <c r="T15" s="5">
        <v>162.19999999999999</v>
      </c>
      <c r="U15" s="5">
        <v>164.5</v>
      </c>
      <c r="V15" s="5">
        <v>161.6</v>
      </c>
      <c r="W15" s="5">
        <v>156.80000000000001</v>
      </c>
      <c r="X15" s="5">
        <v>166.1</v>
      </c>
      <c r="Y15" s="5">
        <v>152.69999999999999</v>
      </c>
      <c r="Z15" s="5">
        <v>158.4</v>
      </c>
      <c r="AA15" s="5">
        <v>161</v>
      </c>
      <c r="AB15" s="5">
        <v>162.80000000000001</v>
      </c>
      <c r="AC15" s="5">
        <v>158.6</v>
      </c>
    </row>
    <row r="16" spans="1:29" x14ac:dyDescent="0.35">
      <c r="A16" s="5" t="s">
        <v>33</v>
      </c>
      <c r="B16" s="5">
        <v>2022</v>
      </c>
      <c r="C16" s="5" t="s">
        <v>35</v>
      </c>
      <c r="D16" s="11">
        <v>152.5</v>
      </c>
      <c r="E16" s="5">
        <v>205.2</v>
      </c>
      <c r="F16" s="5">
        <v>176.4</v>
      </c>
      <c r="G16" s="5">
        <v>160.6</v>
      </c>
      <c r="H16" s="5">
        <v>171.5</v>
      </c>
      <c r="I16" s="5">
        <v>156.4</v>
      </c>
      <c r="J16" s="5">
        <v>198</v>
      </c>
      <c r="K16" s="5">
        <v>163.19999999999999</v>
      </c>
      <c r="L16" s="5">
        <v>120.6</v>
      </c>
      <c r="M16" s="5">
        <v>172.2</v>
      </c>
      <c r="N16" s="5">
        <v>156.69999999999999</v>
      </c>
      <c r="O16" s="5">
        <v>180</v>
      </c>
      <c r="P16" s="5">
        <v>170.2</v>
      </c>
      <c r="Q16" s="5">
        <v>196.5</v>
      </c>
      <c r="R16" s="5">
        <v>165.7</v>
      </c>
      <c r="S16" s="5">
        <v>150.4</v>
      </c>
      <c r="T16" s="5">
        <v>163.4</v>
      </c>
      <c r="U16" s="5">
        <v>165.5</v>
      </c>
      <c r="V16" s="5">
        <v>163</v>
      </c>
      <c r="W16" s="5">
        <v>157.4</v>
      </c>
      <c r="X16" s="5">
        <v>167.2</v>
      </c>
      <c r="Y16" s="5">
        <v>153.1</v>
      </c>
      <c r="Z16" s="5">
        <v>159.5</v>
      </c>
      <c r="AA16" s="5">
        <v>162</v>
      </c>
      <c r="AB16" s="5">
        <v>164.2</v>
      </c>
      <c r="AC16" s="5">
        <v>159.4</v>
      </c>
    </row>
    <row r="17" spans="1:29" x14ac:dyDescent="0.35">
      <c r="A17" s="5" t="s">
        <v>33</v>
      </c>
      <c r="B17" s="5">
        <v>2022</v>
      </c>
      <c r="C17" s="5" t="s">
        <v>36</v>
      </c>
      <c r="D17" s="11">
        <v>153.69999999999999</v>
      </c>
      <c r="E17" s="5">
        <v>215.8</v>
      </c>
      <c r="F17" s="5">
        <v>167.7</v>
      </c>
      <c r="G17" s="5">
        <v>162.6</v>
      </c>
      <c r="H17" s="5">
        <v>180</v>
      </c>
      <c r="I17" s="5">
        <v>159.6</v>
      </c>
      <c r="J17" s="5">
        <v>188.4</v>
      </c>
      <c r="K17" s="5">
        <v>163.4</v>
      </c>
      <c r="L17" s="5">
        <v>120.3</v>
      </c>
      <c r="M17" s="5">
        <v>174.7</v>
      </c>
      <c r="N17" s="5">
        <v>157.1</v>
      </c>
      <c r="O17" s="5">
        <v>181.5</v>
      </c>
      <c r="P17" s="5">
        <v>171.5</v>
      </c>
      <c r="Q17" s="5">
        <v>197.5</v>
      </c>
      <c r="R17" s="5">
        <v>167.1</v>
      </c>
      <c r="S17" s="5">
        <v>152.6</v>
      </c>
      <c r="T17" s="5">
        <v>164.9</v>
      </c>
      <c r="U17" s="5">
        <v>165.3</v>
      </c>
      <c r="V17" s="5">
        <v>164.5</v>
      </c>
      <c r="W17" s="5">
        <v>158.6</v>
      </c>
      <c r="X17" s="5">
        <v>168.2</v>
      </c>
      <c r="Y17" s="5">
        <v>154.19999999999999</v>
      </c>
      <c r="Z17" s="5">
        <v>160.80000000000001</v>
      </c>
      <c r="AA17" s="5">
        <v>162.69999999999999</v>
      </c>
      <c r="AB17" s="5">
        <v>166.8</v>
      </c>
      <c r="AC17" s="5">
        <v>160.6</v>
      </c>
    </row>
    <row r="18" spans="1:29" x14ac:dyDescent="0.35">
      <c r="A18" s="5" t="s">
        <v>33</v>
      </c>
      <c r="B18" s="5">
        <v>2022</v>
      </c>
      <c r="C18" s="5" t="s">
        <v>37</v>
      </c>
      <c r="D18" s="11">
        <v>155.4</v>
      </c>
      <c r="E18" s="5">
        <v>215.8</v>
      </c>
      <c r="F18" s="5">
        <v>164.6</v>
      </c>
      <c r="G18" s="5">
        <v>164.2</v>
      </c>
      <c r="H18" s="5">
        <v>186</v>
      </c>
      <c r="I18" s="5">
        <v>175.9</v>
      </c>
      <c r="J18" s="5">
        <v>190.7</v>
      </c>
      <c r="K18" s="5">
        <v>164</v>
      </c>
      <c r="L18" s="5">
        <v>120.5</v>
      </c>
      <c r="M18" s="5">
        <v>178</v>
      </c>
      <c r="N18" s="5">
        <v>157.5</v>
      </c>
      <c r="O18" s="5">
        <v>183.3</v>
      </c>
      <c r="P18" s="5">
        <v>174.5</v>
      </c>
      <c r="Q18" s="5">
        <v>197.1</v>
      </c>
      <c r="R18" s="5">
        <v>168.4</v>
      </c>
      <c r="S18" s="5">
        <v>154.5</v>
      </c>
      <c r="T18" s="5">
        <v>166.3</v>
      </c>
      <c r="U18" s="5">
        <v>167</v>
      </c>
      <c r="V18" s="5">
        <v>170.5</v>
      </c>
      <c r="W18" s="5">
        <v>159.80000000000001</v>
      </c>
      <c r="X18" s="5">
        <v>169</v>
      </c>
      <c r="Y18" s="5">
        <v>159.30000000000001</v>
      </c>
      <c r="Z18" s="5">
        <v>162.19999999999999</v>
      </c>
      <c r="AA18" s="5">
        <v>164</v>
      </c>
      <c r="AB18" s="5">
        <v>168.4</v>
      </c>
      <c r="AC18" s="5">
        <v>163.1</v>
      </c>
    </row>
    <row r="19" spans="1:29" x14ac:dyDescent="0.35">
      <c r="A19" s="5" t="s">
        <v>33</v>
      </c>
      <c r="B19" s="5">
        <v>2022</v>
      </c>
      <c r="C19" s="5" t="s">
        <v>38</v>
      </c>
      <c r="D19" s="11">
        <v>156.69999999999999</v>
      </c>
      <c r="E19" s="5">
        <v>221.2</v>
      </c>
      <c r="F19" s="5">
        <v>164.1</v>
      </c>
      <c r="G19" s="5">
        <v>165.4</v>
      </c>
      <c r="H19" s="5">
        <v>189.5</v>
      </c>
      <c r="I19" s="5">
        <v>174.5</v>
      </c>
      <c r="J19" s="5">
        <v>203.2</v>
      </c>
      <c r="K19" s="5">
        <v>164.1</v>
      </c>
      <c r="L19" s="5">
        <v>121.2</v>
      </c>
      <c r="M19" s="5">
        <v>181.4</v>
      </c>
      <c r="N19" s="5">
        <v>158.5</v>
      </c>
      <c r="O19" s="5">
        <v>184.9</v>
      </c>
      <c r="P19" s="5">
        <v>177.5</v>
      </c>
      <c r="Q19" s="5">
        <v>197.5</v>
      </c>
      <c r="R19" s="5">
        <v>170</v>
      </c>
      <c r="S19" s="5">
        <v>155.9</v>
      </c>
      <c r="T19" s="5">
        <v>167.8</v>
      </c>
      <c r="U19" s="5">
        <v>167.5</v>
      </c>
      <c r="V19" s="5">
        <v>173.5</v>
      </c>
      <c r="W19" s="5">
        <v>161.1</v>
      </c>
      <c r="X19" s="5">
        <v>170.1</v>
      </c>
      <c r="Y19" s="5">
        <v>159.4</v>
      </c>
      <c r="Z19" s="5">
        <v>163.19999999999999</v>
      </c>
      <c r="AA19" s="5">
        <v>165.2</v>
      </c>
      <c r="AB19" s="5">
        <v>168.2</v>
      </c>
      <c r="AC19" s="5">
        <v>163.80000000000001</v>
      </c>
    </row>
    <row r="20" spans="1:29" x14ac:dyDescent="0.35">
      <c r="A20" s="5" t="s">
        <v>33</v>
      </c>
      <c r="B20" s="5">
        <v>2022</v>
      </c>
      <c r="C20" s="5" t="s">
        <v>39</v>
      </c>
      <c r="D20" s="11">
        <v>157.5</v>
      </c>
      <c r="E20" s="5">
        <v>223.4</v>
      </c>
      <c r="F20" s="5">
        <v>172.8</v>
      </c>
      <c r="G20" s="5">
        <v>166.4</v>
      </c>
      <c r="H20" s="5">
        <v>188.6</v>
      </c>
      <c r="I20" s="5">
        <v>174.1</v>
      </c>
      <c r="J20" s="5">
        <v>211.5</v>
      </c>
      <c r="K20" s="5">
        <v>163.6</v>
      </c>
      <c r="L20" s="5">
        <v>121.4</v>
      </c>
      <c r="M20" s="5">
        <v>183.5</v>
      </c>
      <c r="N20" s="5">
        <v>159.1</v>
      </c>
      <c r="O20" s="5">
        <v>186.3</v>
      </c>
      <c r="P20" s="5">
        <v>179.3</v>
      </c>
      <c r="Q20" s="5">
        <v>198.3</v>
      </c>
      <c r="R20" s="5">
        <v>171.6</v>
      </c>
      <c r="S20" s="5">
        <v>157.4</v>
      </c>
      <c r="T20" s="5">
        <v>169.4</v>
      </c>
      <c r="U20" s="5">
        <v>166.8</v>
      </c>
      <c r="V20" s="5">
        <v>174.9</v>
      </c>
      <c r="W20" s="5">
        <v>162.1</v>
      </c>
      <c r="X20" s="5">
        <v>170.9</v>
      </c>
      <c r="Y20" s="5">
        <v>157.19999999999999</v>
      </c>
      <c r="Z20" s="5">
        <v>164.1</v>
      </c>
      <c r="AA20" s="5">
        <v>166.5</v>
      </c>
      <c r="AB20" s="5">
        <v>169.2</v>
      </c>
      <c r="AC20" s="5">
        <v>163.80000000000001</v>
      </c>
    </row>
    <row r="21" spans="1:29" x14ac:dyDescent="0.35">
      <c r="A21" s="5" t="s">
        <v>33</v>
      </c>
      <c r="B21" s="5">
        <v>2022</v>
      </c>
      <c r="C21" s="5" t="s">
        <v>40</v>
      </c>
      <c r="D21" s="11">
        <v>159.30000000000001</v>
      </c>
      <c r="E21" s="5">
        <v>217.1</v>
      </c>
      <c r="F21" s="5">
        <v>176.6</v>
      </c>
      <c r="G21" s="5">
        <v>167.1</v>
      </c>
      <c r="H21" s="5">
        <v>184.8</v>
      </c>
      <c r="I21" s="5">
        <v>179.5</v>
      </c>
      <c r="J21" s="5">
        <v>208.5</v>
      </c>
      <c r="K21" s="5">
        <v>164</v>
      </c>
      <c r="L21" s="5">
        <v>121.5</v>
      </c>
      <c r="M21" s="5">
        <v>186.3</v>
      </c>
      <c r="N21" s="5">
        <v>159.80000000000001</v>
      </c>
      <c r="O21" s="5">
        <v>187.7</v>
      </c>
      <c r="P21" s="5">
        <v>179.4</v>
      </c>
      <c r="Q21" s="5">
        <v>198.6</v>
      </c>
      <c r="R21" s="5">
        <v>172.7</v>
      </c>
      <c r="S21" s="5">
        <v>158.69999999999999</v>
      </c>
      <c r="T21" s="5">
        <v>170.6</v>
      </c>
      <c r="U21" s="5">
        <v>167.8</v>
      </c>
      <c r="V21" s="5">
        <v>179.5</v>
      </c>
      <c r="W21" s="5">
        <v>163.1</v>
      </c>
      <c r="X21" s="5">
        <v>171.7</v>
      </c>
      <c r="Y21" s="5">
        <v>157.4</v>
      </c>
      <c r="Z21" s="5">
        <v>164.6</v>
      </c>
      <c r="AA21" s="5">
        <v>169.1</v>
      </c>
      <c r="AB21" s="5">
        <v>169.8</v>
      </c>
      <c r="AC21" s="5">
        <v>164.7</v>
      </c>
    </row>
    <row r="22" spans="1:29" x14ac:dyDescent="0.35">
      <c r="A22" s="5" t="s">
        <v>33</v>
      </c>
      <c r="B22" s="5">
        <v>2022</v>
      </c>
      <c r="C22" s="5" t="s">
        <v>41</v>
      </c>
      <c r="D22" s="11">
        <v>162.1</v>
      </c>
      <c r="E22" s="5">
        <v>210.9</v>
      </c>
      <c r="F22" s="5">
        <v>170.6</v>
      </c>
      <c r="G22" s="5">
        <v>168.4</v>
      </c>
      <c r="H22" s="5">
        <v>182.5</v>
      </c>
      <c r="I22" s="5">
        <v>177.1</v>
      </c>
      <c r="J22" s="5">
        <v>213.1</v>
      </c>
      <c r="K22" s="5">
        <v>167.3</v>
      </c>
      <c r="L22" s="5">
        <v>122.2</v>
      </c>
      <c r="M22" s="5">
        <v>189.7</v>
      </c>
      <c r="N22" s="5">
        <v>160.5</v>
      </c>
      <c r="O22" s="5">
        <v>188.9</v>
      </c>
      <c r="P22" s="5">
        <v>180.4</v>
      </c>
      <c r="Q22" s="5">
        <v>198.7</v>
      </c>
      <c r="R22" s="5">
        <v>173.7</v>
      </c>
      <c r="S22" s="5">
        <v>160</v>
      </c>
      <c r="T22" s="5">
        <v>171.6</v>
      </c>
      <c r="U22" s="5">
        <v>169</v>
      </c>
      <c r="V22" s="5">
        <v>178.4</v>
      </c>
      <c r="W22" s="5">
        <v>164.2</v>
      </c>
      <c r="X22" s="5">
        <v>172.6</v>
      </c>
      <c r="Y22" s="5">
        <v>157.69999999999999</v>
      </c>
      <c r="Z22" s="5">
        <v>165.1</v>
      </c>
      <c r="AA22" s="5">
        <v>169.9</v>
      </c>
      <c r="AB22" s="5">
        <v>171.4</v>
      </c>
      <c r="AC22" s="5">
        <v>165.4</v>
      </c>
    </row>
    <row r="23" spans="1:29" x14ac:dyDescent="0.35">
      <c r="A23" s="5" t="s">
        <v>33</v>
      </c>
      <c r="B23" s="5">
        <v>2022</v>
      </c>
      <c r="C23" s="5" t="s">
        <v>42</v>
      </c>
      <c r="D23" s="11">
        <v>164.9</v>
      </c>
      <c r="E23" s="5">
        <v>213.7</v>
      </c>
      <c r="F23" s="5">
        <v>170.9</v>
      </c>
      <c r="G23" s="5">
        <v>170.1</v>
      </c>
      <c r="H23" s="5">
        <v>179.3</v>
      </c>
      <c r="I23" s="5">
        <v>167.5</v>
      </c>
      <c r="J23" s="5">
        <v>220.8</v>
      </c>
      <c r="K23" s="5">
        <v>169.2</v>
      </c>
      <c r="L23" s="5">
        <v>123.1</v>
      </c>
      <c r="M23" s="5">
        <v>193.6</v>
      </c>
      <c r="N23" s="5">
        <v>161.1</v>
      </c>
      <c r="O23" s="5">
        <v>190.4</v>
      </c>
      <c r="P23" s="5">
        <v>181.8</v>
      </c>
      <c r="Q23" s="5">
        <v>199.7</v>
      </c>
      <c r="R23" s="5">
        <v>175</v>
      </c>
      <c r="S23" s="5">
        <v>161.69999999999999</v>
      </c>
      <c r="T23" s="5">
        <v>173</v>
      </c>
      <c r="U23" s="5">
        <v>169.5</v>
      </c>
      <c r="V23" s="5">
        <v>179.2</v>
      </c>
      <c r="W23" s="5">
        <v>165</v>
      </c>
      <c r="X23" s="5">
        <v>173.8</v>
      </c>
      <c r="Y23" s="5">
        <v>158.19999999999999</v>
      </c>
      <c r="Z23" s="5">
        <v>165.8</v>
      </c>
      <c r="AA23" s="5">
        <v>170.9</v>
      </c>
      <c r="AB23" s="5">
        <v>171.1</v>
      </c>
      <c r="AC23" s="5">
        <v>166.1</v>
      </c>
    </row>
    <row r="24" spans="1:29" x14ac:dyDescent="0.35">
      <c r="A24" s="5" t="s">
        <v>33</v>
      </c>
      <c r="B24" s="5">
        <v>2022</v>
      </c>
      <c r="C24" s="5" t="s">
        <v>43</v>
      </c>
      <c r="D24" s="11">
        <v>166.4</v>
      </c>
      <c r="E24" s="5">
        <v>214.9</v>
      </c>
      <c r="F24" s="5">
        <v>171.9</v>
      </c>
      <c r="G24" s="5">
        <v>171</v>
      </c>
      <c r="H24" s="5">
        <v>177.7</v>
      </c>
      <c r="I24" s="5">
        <v>165.7</v>
      </c>
      <c r="J24" s="5">
        <v>228.6</v>
      </c>
      <c r="K24" s="5">
        <v>169.9</v>
      </c>
      <c r="L24" s="5">
        <v>123.4</v>
      </c>
      <c r="M24" s="5">
        <v>196.4</v>
      </c>
      <c r="N24" s="5">
        <v>161.6</v>
      </c>
      <c r="O24" s="5">
        <v>191.5</v>
      </c>
      <c r="P24" s="5">
        <v>183.3</v>
      </c>
      <c r="Q24" s="5">
        <v>200.1</v>
      </c>
      <c r="R24" s="5">
        <v>175.5</v>
      </c>
      <c r="S24" s="5">
        <v>162.6</v>
      </c>
      <c r="T24" s="5">
        <v>173.6</v>
      </c>
      <c r="U24" s="5">
        <v>171.2</v>
      </c>
      <c r="V24" s="5">
        <v>180</v>
      </c>
      <c r="W24" s="5">
        <v>166</v>
      </c>
      <c r="X24" s="5">
        <v>174.7</v>
      </c>
      <c r="Y24" s="5">
        <v>158.80000000000001</v>
      </c>
      <c r="Z24" s="5">
        <v>166.3</v>
      </c>
      <c r="AA24" s="5">
        <v>171.2</v>
      </c>
      <c r="AB24" s="5">
        <v>172.3</v>
      </c>
      <c r="AC24" s="5">
        <v>166.8</v>
      </c>
    </row>
    <row r="25" spans="1:29" x14ac:dyDescent="0.35">
      <c r="A25" s="5" t="s">
        <v>33</v>
      </c>
      <c r="B25" s="5">
        <v>2022</v>
      </c>
      <c r="C25" s="5" t="s">
        <v>45</v>
      </c>
      <c r="D25" s="11">
        <v>168.4</v>
      </c>
      <c r="E25" s="5">
        <v>213.4</v>
      </c>
      <c r="F25" s="5">
        <v>183.2</v>
      </c>
      <c r="G25" s="5">
        <v>172.3</v>
      </c>
      <c r="H25" s="5">
        <v>180</v>
      </c>
      <c r="I25" s="5">
        <v>162.6</v>
      </c>
      <c r="J25" s="5">
        <v>205.5</v>
      </c>
      <c r="K25" s="5">
        <v>171</v>
      </c>
      <c r="L25" s="5">
        <v>123.4</v>
      </c>
      <c r="M25" s="5">
        <v>198.8</v>
      </c>
      <c r="N25" s="5">
        <v>162.1</v>
      </c>
      <c r="O25" s="5">
        <v>192.4</v>
      </c>
      <c r="P25" s="5">
        <v>181.3</v>
      </c>
      <c r="Q25" s="5">
        <v>200.6</v>
      </c>
      <c r="R25" s="5">
        <v>176.7</v>
      </c>
      <c r="S25" s="5">
        <v>163.5</v>
      </c>
      <c r="T25" s="5">
        <v>174.7</v>
      </c>
      <c r="U25" s="5">
        <v>171.8</v>
      </c>
      <c r="V25" s="5">
        <v>180.3</v>
      </c>
      <c r="W25" s="5">
        <v>166.9</v>
      </c>
      <c r="X25" s="5">
        <v>175.8</v>
      </c>
      <c r="Y25" s="5">
        <v>158.9</v>
      </c>
      <c r="Z25" s="5">
        <v>166.7</v>
      </c>
      <c r="AA25" s="5">
        <v>171.5</v>
      </c>
      <c r="AB25" s="5">
        <v>173.8</v>
      </c>
      <c r="AC25" s="5">
        <v>167.4</v>
      </c>
    </row>
    <row r="26" spans="1:29" x14ac:dyDescent="0.35">
      <c r="A26" s="5" t="s">
        <v>33</v>
      </c>
      <c r="B26" s="5">
        <v>2022</v>
      </c>
      <c r="C26" s="5" t="s">
        <v>46</v>
      </c>
      <c r="D26" s="11">
        <v>170.2</v>
      </c>
      <c r="E26" s="5">
        <v>212.9</v>
      </c>
      <c r="F26" s="5">
        <v>191.9</v>
      </c>
      <c r="G26" s="5">
        <v>173.9</v>
      </c>
      <c r="H26" s="5">
        <v>179.1</v>
      </c>
      <c r="I26" s="5">
        <v>159.5</v>
      </c>
      <c r="J26" s="5">
        <v>178.7</v>
      </c>
      <c r="K26" s="5">
        <v>171.3</v>
      </c>
      <c r="L26" s="5">
        <v>123.1</v>
      </c>
      <c r="M26" s="5">
        <v>200.5</v>
      </c>
      <c r="N26" s="5">
        <v>162.80000000000001</v>
      </c>
      <c r="O26" s="5">
        <v>193.3</v>
      </c>
      <c r="P26" s="5">
        <v>178.6</v>
      </c>
      <c r="Q26" s="5">
        <v>201.1</v>
      </c>
      <c r="R26" s="5">
        <v>177.7</v>
      </c>
      <c r="S26" s="5">
        <v>164.5</v>
      </c>
      <c r="T26" s="5">
        <v>175.7</v>
      </c>
      <c r="U26" s="5">
        <v>170.7</v>
      </c>
      <c r="V26" s="5">
        <v>180.6</v>
      </c>
      <c r="W26" s="5">
        <v>167.3</v>
      </c>
      <c r="X26" s="5">
        <v>177.2</v>
      </c>
      <c r="Y26" s="5">
        <v>159.4</v>
      </c>
      <c r="Z26" s="5">
        <v>167.1</v>
      </c>
      <c r="AA26" s="5">
        <v>171.8</v>
      </c>
      <c r="AB26" s="5">
        <v>176</v>
      </c>
      <c r="AC26" s="5">
        <v>168.2</v>
      </c>
    </row>
    <row r="27" spans="1:29" x14ac:dyDescent="0.35">
      <c r="A27" s="5" t="s">
        <v>33</v>
      </c>
      <c r="B27" s="5">
        <v>2023</v>
      </c>
      <c r="C27" s="5" t="s">
        <v>31</v>
      </c>
      <c r="D27" s="11">
        <v>173.3</v>
      </c>
      <c r="E27" s="5">
        <v>215.2</v>
      </c>
      <c r="F27" s="5">
        <v>197</v>
      </c>
      <c r="G27" s="5">
        <v>175.2</v>
      </c>
      <c r="H27" s="5">
        <v>178</v>
      </c>
      <c r="I27" s="5">
        <v>160.5</v>
      </c>
      <c r="J27" s="5">
        <v>175.3</v>
      </c>
      <c r="K27" s="5">
        <v>171.2</v>
      </c>
      <c r="L27" s="5">
        <v>122.7</v>
      </c>
      <c r="M27" s="5">
        <v>204.3</v>
      </c>
      <c r="N27" s="5">
        <v>163.69999999999999</v>
      </c>
      <c r="O27" s="5">
        <v>194.3</v>
      </c>
      <c r="P27" s="5">
        <v>179.5</v>
      </c>
      <c r="Q27" s="5">
        <v>201.6</v>
      </c>
      <c r="R27" s="5">
        <v>178.7</v>
      </c>
      <c r="S27" s="5">
        <v>165.3</v>
      </c>
      <c r="T27" s="5">
        <v>176.6</v>
      </c>
      <c r="U27" s="5">
        <v>172.1</v>
      </c>
      <c r="V27" s="5">
        <v>180.1</v>
      </c>
      <c r="W27" s="5">
        <v>168</v>
      </c>
      <c r="X27" s="5">
        <v>178.5</v>
      </c>
      <c r="Y27" s="5">
        <v>159.5</v>
      </c>
      <c r="Z27" s="5">
        <v>167.8</v>
      </c>
      <c r="AA27" s="5">
        <v>171.8</v>
      </c>
      <c r="AB27" s="5">
        <v>178.8</v>
      </c>
      <c r="AC27" s="5">
        <v>168.9</v>
      </c>
    </row>
    <row r="28" spans="1:29" x14ac:dyDescent="0.35">
      <c r="A28" s="5" t="s">
        <v>33</v>
      </c>
      <c r="B28" s="5">
        <v>2023</v>
      </c>
      <c r="C28" s="5" t="s">
        <v>35</v>
      </c>
      <c r="D28" s="11">
        <v>174.7</v>
      </c>
      <c r="E28" s="5">
        <v>212.2</v>
      </c>
      <c r="F28" s="5">
        <v>177.2</v>
      </c>
      <c r="G28" s="5">
        <v>177.9</v>
      </c>
      <c r="H28" s="5">
        <v>172.2</v>
      </c>
      <c r="I28" s="5">
        <v>172.1</v>
      </c>
      <c r="J28" s="5">
        <v>175.8</v>
      </c>
      <c r="K28" s="5">
        <v>172.2</v>
      </c>
      <c r="L28" s="5">
        <v>121.9</v>
      </c>
      <c r="M28" s="5">
        <v>204.8</v>
      </c>
      <c r="N28" s="5">
        <v>164.9</v>
      </c>
      <c r="O28" s="5">
        <v>196.6</v>
      </c>
      <c r="P28" s="5">
        <v>180.7</v>
      </c>
      <c r="Q28" s="5">
        <v>202.7</v>
      </c>
      <c r="R28" s="5">
        <v>180.3</v>
      </c>
      <c r="S28" s="5">
        <v>167</v>
      </c>
      <c r="T28" s="5">
        <v>178.2</v>
      </c>
      <c r="U28" s="5">
        <v>173.5</v>
      </c>
      <c r="V28" s="5">
        <v>182.8</v>
      </c>
      <c r="W28" s="5">
        <v>169.2</v>
      </c>
      <c r="X28" s="5">
        <v>180.8</v>
      </c>
      <c r="Y28" s="5">
        <v>159.80000000000001</v>
      </c>
      <c r="Z28" s="5">
        <v>168.4</v>
      </c>
      <c r="AA28" s="5">
        <v>172.5</v>
      </c>
      <c r="AB28" s="5">
        <v>181.4</v>
      </c>
      <c r="AC28" s="5">
        <v>170</v>
      </c>
    </row>
    <row r="29" spans="1:29" x14ac:dyDescent="0.35">
      <c r="A29" s="5" t="s">
        <v>33</v>
      </c>
      <c r="B29" s="5">
        <v>2023</v>
      </c>
      <c r="C29" s="5" t="s">
        <v>36</v>
      </c>
      <c r="D29" s="11">
        <v>174.7</v>
      </c>
      <c r="E29" s="5">
        <v>212.2</v>
      </c>
      <c r="F29" s="5">
        <v>177.2</v>
      </c>
      <c r="G29" s="5">
        <v>177.9</v>
      </c>
      <c r="H29" s="5">
        <v>172.2</v>
      </c>
      <c r="I29" s="5">
        <v>172.1</v>
      </c>
      <c r="J29" s="5">
        <v>175.9</v>
      </c>
      <c r="K29" s="5">
        <v>172.2</v>
      </c>
      <c r="L29" s="5">
        <v>121.9</v>
      </c>
      <c r="M29" s="5">
        <v>204.8</v>
      </c>
      <c r="N29" s="5">
        <v>164.9</v>
      </c>
      <c r="O29" s="5">
        <v>196.6</v>
      </c>
      <c r="P29" s="5">
        <v>180.8</v>
      </c>
      <c r="Q29" s="5">
        <v>202.7</v>
      </c>
      <c r="R29" s="5">
        <v>180.2</v>
      </c>
      <c r="S29" s="5">
        <v>167</v>
      </c>
      <c r="T29" s="5">
        <v>178.2</v>
      </c>
      <c r="U29" s="5">
        <v>173.5</v>
      </c>
      <c r="V29" s="5">
        <v>182.6</v>
      </c>
      <c r="W29" s="5">
        <v>169.2</v>
      </c>
      <c r="X29" s="5">
        <v>180.8</v>
      </c>
      <c r="Y29" s="5">
        <v>159.80000000000001</v>
      </c>
      <c r="Z29" s="5">
        <v>168.4</v>
      </c>
      <c r="AA29" s="5">
        <v>172.5</v>
      </c>
      <c r="AB29" s="5">
        <v>181.5</v>
      </c>
      <c r="AC29" s="5">
        <v>170</v>
      </c>
    </row>
    <row r="30" spans="1:29" x14ac:dyDescent="0.35">
      <c r="A30" s="5" t="s">
        <v>33</v>
      </c>
      <c r="B30" s="5">
        <v>2023</v>
      </c>
      <c r="C30" s="5" t="s">
        <v>37</v>
      </c>
      <c r="D30" s="11">
        <v>174.8</v>
      </c>
      <c r="E30" s="5">
        <v>213.7</v>
      </c>
      <c r="F30" s="5">
        <v>172.4</v>
      </c>
      <c r="G30" s="5">
        <v>178.8</v>
      </c>
      <c r="H30" s="5">
        <v>168.7</v>
      </c>
      <c r="I30" s="5">
        <v>179.2</v>
      </c>
      <c r="J30" s="5">
        <v>179.9</v>
      </c>
      <c r="K30" s="5">
        <v>174.7</v>
      </c>
      <c r="L30" s="5">
        <v>123.1</v>
      </c>
      <c r="M30" s="5">
        <v>207.8</v>
      </c>
      <c r="N30" s="5">
        <v>165.5</v>
      </c>
      <c r="O30" s="5">
        <v>197</v>
      </c>
      <c r="P30" s="5">
        <v>182.1</v>
      </c>
      <c r="Q30" s="5">
        <v>203.5</v>
      </c>
      <c r="R30" s="5">
        <v>181</v>
      </c>
      <c r="S30" s="5">
        <v>167.7</v>
      </c>
      <c r="T30" s="5">
        <v>178.9</v>
      </c>
      <c r="U30" s="5">
        <v>175.2</v>
      </c>
      <c r="V30" s="5">
        <v>182.1</v>
      </c>
      <c r="W30" s="5">
        <v>169.6</v>
      </c>
      <c r="X30" s="5">
        <v>181.5</v>
      </c>
      <c r="Y30" s="5">
        <v>160.1</v>
      </c>
      <c r="Z30" s="5">
        <v>168.8</v>
      </c>
      <c r="AA30" s="5">
        <v>174.2</v>
      </c>
      <c r="AB30" s="5">
        <v>184.4</v>
      </c>
      <c r="AC30" s="5">
        <v>170.9</v>
      </c>
    </row>
    <row r="31" spans="1:29" x14ac:dyDescent="0.35">
      <c r="A31" s="5" t="s">
        <v>33</v>
      </c>
      <c r="B31" s="5">
        <v>2023</v>
      </c>
      <c r="C31" s="5" t="s">
        <v>38</v>
      </c>
      <c r="D31" s="11">
        <v>174.7</v>
      </c>
      <c r="E31" s="5">
        <v>219.4</v>
      </c>
      <c r="F31" s="5">
        <v>176.7</v>
      </c>
      <c r="G31" s="5">
        <v>179.4</v>
      </c>
      <c r="H31" s="5">
        <v>164.4</v>
      </c>
      <c r="I31" s="5">
        <v>175.8</v>
      </c>
      <c r="J31" s="5">
        <v>185</v>
      </c>
      <c r="K31" s="5">
        <v>176.9</v>
      </c>
      <c r="L31" s="5">
        <v>124.2</v>
      </c>
      <c r="M31" s="5">
        <v>211.9</v>
      </c>
      <c r="N31" s="5">
        <v>165.9</v>
      </c>
      <c r="O31" s="5">
        <v>197.7</v>
      </c>
      <c r="P31" s="5">
        <v>183.1</v>
      </c>
      <c r="Q31" s="5">
        <v>204.2</v>
      </c>
      <c r="R31" s="5">
        <v>181.3</v>
      </c>
      <c r="S31" s="5">
        <v>168.1</v>
      </c>
      <c r="T31" s="5">
        <v>179.3</v>
      </c>
      <c r="U31" s="5">
        <v>175.6</v>
      </c>
      <c r="V31" s="5">
        <v>183.4</v>
      </c>
      <c r="W31" s="5">
        <v>170.1</v>
      </c>
      <c r="X31" s="5">
        <v>182.2</v>
      </c>
      <c r="Y31" s="5">
        <v>160.4</v>
      </c>
      <c r="Z31" s="5">
        <v>169.2</v>
      </c>
      <c r="AA31" s="5">
        <v>174.8</v>
      </c>
      <c r="AB31" s="5">
        <v>185.6</v>
      </c>
      <c r="AC31" s="5">
        <v>171.6</v>
      </c>
    </row>
    <row r="34" spans="1:29" x14ac:dyDescent="0.35">
      <c r="A34" s="55" t="s">
        <v>144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</row>
    <row r="35" spans="1:29" x14ac:dyDescent="0.35">
      <c r="A35" s="15" t="s">
        <v>0</v>
      </c>
      <c r="B35" s="15" t="s">
        <v>1</v>
      </c>
      <c r="C35" s="15" t="s">
        <v>2</v>
      </c>
      <c r="D35" s="15" t="s">
        <v>3</v>
      </c>
      <c r="E35" s="15" t="s">
        <v>4</v>
      </c>
      <c r="F35" s="15" t="s">
        <v>5</v>
      </c>
      <c r="G35" s="15" t="s">
        <v>6</v>
      </c>
      <c r="H35" s="15" t="s">
        <v>7</v>
      </c>
      <c r="I35" s="15" t="s">
        <v>8</v>
      </c>
      <c r="J35" s="15" t="s">
        <v>9</v>
      </c>
      <c r="K35" s="15" t="s">
        <v>10</v>
      </c>
      <c r="L35" s="15" t="s">
        <v>11</v>
      </c>
      <c r="M35" s="15" t="s">
        <v>12</v>
      </c>
      <c r="N35" s="15" t="s">
        <v>13</v>
      </c>
      <c r="O35" s="15" t="s">
        <v>74</v>
      </c>
      <c r="P35" s="15" t="s">
        <v>15</v>
      </c>
      <c r="Q35" s="15" t="s">
        <v>73</v>
      </c>
      <c r="R35" s="15" t="s">
        <v>17</v>
      </c>
      <c r="S35" s="15" t="s">
        <v>18</v>
      </c>
      <c r="T35" s="15" t="s">
        <v>19</v>
      </c>
      <c r="U35" s="15" t="s">
        <v>20</v>
      </c>
      <c r="V35" s="15" t="s">
        <v>21</v>
      </c>
      <c r="W35" s="15" t="s">
        <v>22</v>
      </c>
      <c r="X35" s="15" t="s">
        <v>23</v>
      </c>
      <c r="Y35" s="15" t="s">
        <v>24</v>
      </c>
      <c r="Z35" s="15" t="s">
        <v>25</v>
      </c>
      <c r="AA35" s="15" t="s">
        <v>26</v>
      </c>
      <c r="AB35" s="15" t="s">
        <v>27</v>
      </c>
      <c r="AC35" s="15" t="s">
        <v>28</v>
      </c>
    </row>
    <row r="36" spans="1:29" x14ac:dyDescent="0.35">
      <c r="A36" s="10" t="s">
        <v>30</v>
      </c>
      <c r="B36" s="10">
        <v>2021</v>
      </c>
      <c r="C36" s="10" t="s">
        <v>37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x14ac:dyDescent="0.35">
      <c r="A37" s="15" t="s">
        <v>30</v>
      </c>
      <c r="B37" s="15">
        <v>2021</v>
      </c>
      <c r="C37" s="15" t="s">
        <v>38</v>
      </c>
      <c r="D37" s="9">
        <f t="shared" ref="D37:AC37" si="0">IFERROR((D7-D6)/D6,0)</f>
        <v>8.1300813008131235E-3</v>
      </c>
      <c r="E37" s="9">
        <f t="shared" si="0"/>
        <v>8.8888888888889444E-3</v>
      </c>
      <c r="F37" s="9">
        <f t="shared" si="0"/>
        <v>3.9663461538461502E-2</v>
      </c>
      <c r="G37" s="9">
        <f t="shared" si="0"/>
        <v>3.205128205128205E-3</v>
      </c>
      <c r="H37" s="9">
        <f t="shared" si="0"/>
        <v>4.5848822800495695E-2</v>
      </c>
      <c r="I37" s="9">
        <f t="shared" si="0"/>
        <v>2.1919431279620784E-2</v>
      </c>
      <c r="J37" s="9">
        <f t="shared" si="0"/>
        <v>3.0321782178217859E-2</v>
      </c>
      <c r="K37" s="9">
        <f t="shared" si="0"/>
        <v>1.9041769041769005E-2</v>
      </c>
      <c r="L37" s="9">
        <f t="shared" si="0"/>
        <v>9.5818815331011192E-3</v>
      </c>
      <c r="M37" s="9">
        <f t="shared" si="0"/>
        <v>1.4742014742014602E-2</v>
      </c>
      <c r="N37" s="9">
        <f t="shared" si="0"/>
        <v>3.3003300330033004E-3</v>
      </c>
      <c r="O37" s="9">
        <f t="shared" si="0"/>
        <v>-1.7502917152859472E-3</v>
      </c>
      <c r="P37" s="9">
        <f t="shared" si="0"/>
        <v>1.3580246913580177E-2</v>
      </c>
      <c r="Q37" s="9">
        <f t="shared" si="0"/>
        <v>1.9547325102880569E-2</v>
      </c>
      <c r="R37" s="9">
        <f t="shared" si="0"/>
        <v>3.8486209108402458E-3</v>
      </c>
      <c r="S37" s="9">
        <f t="shared" si="0"/>
        <v>6.4608758076093124E-3</v>
      </c>
      <c r="T37" s="9">
        <f t="shared" si="0"/>
        <v>4.5632333767926248E-3</v>
      </c>
      <c r="U37" s="9">
        <f t="shared" si="0"/>
        <v>1.2391573729862988E-3</v>
      </c>
      <c r="V37" s="9">
        <f t="shared" si="0"/>
        <v>3.8734667527436689E-3</v>
      </c>
      <c r="W37" s="9">
        <f t="shared" si="0"/>
        <v>1.6937669376693769E-2</v>
      </c>
      <c r="X37" s="9">
        <f t="shared" si="0"/>
        <v>1.841269841269845E-2</v>
      </c>
      <c r="Y37" s="9">
        <f t="shared" si="0"/>
        <v>2.0408163265306162E-2</v>
      </c>
      <c r="Z37" s="9">
        <f t="shared" si="0"/>
        <v>2.3474178403755871E-2</v>
      </c>
      <c r="AA37" s="9">
        <f t="shared" si="0"/>
        <v>-6.3451776649746192E-3</v>
      </c>
      <c r="AB37" s="9">
        <f t="shared" si="0"/>
        <v>5.7471264367816455E-3</v>
      </c>
      <c r="AC37" s="9">
        <f t="shared" si="0"/>
        <v>1.1960132890365524E-2</v>
      </c>
    </row>
    <row r="38" spans="1:29" x14ac:dyDescent="0.35">
      <c r="A38" s="15" t="s">
        <v>30</v>
      </c>
      <c r="B38" s="15">
        <v>2021</v>
      </c>
      <c r="C38" s="15" t="s">
        <v>39</v>
      </c>
      <c r="D38" s="9">
        <f t="shared" ref="D38:S53" si="1">IFERROR((D8-D7)/D7,0)</f>
        <v>2.6881720430105998E-3</v>
      </c>
      <c r="E38" s="9">
        <f t="shared" si="1"/>
        <v>5.8737151248163906E-3</v>
      </c>
      <c r="F38" s="9">
        <f t="shared" si="1"/>
        <v>5.6647398843930705E-2</v>
      </c>
      <c r="G38" s="9">
        <f t="shared" si="1"/>
        <v>0</v>
      </c>
      <c r="H38" s="9">
        <f t="shared" si="1"/>
        <v>2.0142180094786594E-2</v>
      </c>
      <c r="I38" s="9">
        <f t="shared" si="1"/>
        <v>-5.7971014492753624E-3</v>
      </c>
      <c r="J38" s="9">
        <f t="shared" si="1"/>
        <v>5.8258258258258193E-2</v>
      </c>
      <c r="K38" s="9">
        <f t="shared" si="1"/>
        <v>6.0277275467148879E-3</v>
      </c>
      <c r="L38" s="9">
        <f t="shared" si="1"/>
        <v>1.7256255392578829E-3</v>
      </c>
      <c r="M38" s="9">
        <f t="shared" si="1"/>
        <v>1.8159806295400206E-3</v>
      </c>
      <c r="N38" s="9">
        <f t="shared" si="1"/>
        <v>1.9736842105263904E-3</v>
      </c>
      <c r="O38" s="9">
        <f t="shared" si="1"/>
        <v>1.2857977790765734E-2</v>
      </c>
      <c r="P38" s="9">
        <f t="shared" si="1"/>
        <v>1.2180267965895251E-2</v>
      </c>
      <c r="Q38" s="9">
        <f t="shared" si="1"/>
        <v>-1.311806256306758E-2</v>
      </c>
      <c r="R38" s="9">
        <f t="shared" si="1"/>
        <v>5.1118210862620538E-3</v>
      </c>
      <c r="S38" s="9">
        <f t="shared" si="1"/>
        <v>2.1398002853067859E-3</v>
      </c>
      <c r="T38" s="9">
        <f t="shared" ref="T38:AC38" si="2">IFERROR((T8-T7)/T7,0)</f>
        <v>4.5425048669696108E-3</v>
      </c>
      <c r="U38" s="9">
        <f t="shared" si="2"/>
        <v>-6.8069306930692722E-3</v>
      </c>
      <c r="V38" s="9">
        <f t="shared" si="2"/>
        <v>3.8585209003215068E-3</v>
      </c>
      <c r="W38" s="9">
        <f t="shared" si="2"/>
        <v>-1.9986675549632442E-3</v>
      </c>
      <c r="X38" s="9">
        <f t="shared" si="2"/>
        <v>2.4937655860349482E-3</v>
      </c>
      <c r="Y38" s="9">
        <f t="shared" si="2"/>
        <v>1.7241379310344827E-2</v>
      </c>
      <c r="Z38" s="9">
        <f t="shared" si="2"/>
        <v>-1.2450851900393222E-2</v>
      </c>
      <c r="AA38" s="9">
        <f t="shared" si="2"/>
        <v>9.578544061302683E-3</v>
      </c>
      <c r="AB38" s="9">
        <f t="shared" si="2"/>
        <v>3.1746031746031746E-3</v>
      </c>
      <c r="AC38" s="9">
        <f t="shared" si="2"/>
        <v>7.2225869993433637E-3</v>
      </c>
    </row>
    <row r="39" spans="1:29" x14ac:dyDescent="0.35">
      <c r="A39" s="15" t="s">
        <v>30</v>
      </c>
      <c r="B39" s="15">
        <v>2021</v>
      </c>
      <c r="C39" s="15" t="s">
        <v>40</v>
      </c>
      <c r="D39" s="9">
        <f t="shared" si="1"/>
        <v>-6.7024128686323273E-4</v>
      </c>
      <c r="E39" s="9">
        <f t="shared" si="1"/>
        <v>2.6277372262773751E-2</v>
      </c>
      <c r="F39" s="9">
        <f t="shared" si="1"/>
        <v>1.2035010940918973E-2</v>
      </c>
      <c r="G39" s="9">
        <f t="shared" si="1"/>
        <v>1.0862619808306637E-2</v>
      </c>
      <c r="H39" s="9">
        <f t="shared" si="1"/>
        <v>-9.2915214866434049E-3</v>
      </c>
      <c r="I39" s="9">
        <f t="shared" si="1"/>
        <v>-3.4985422740524451E-3</v>
      </c>
      <c r="J39" s="9">
        <f t="shared" si="1"/>
        <v>5.7888762769580125E-2</v>
      </c>
      <c r="K39" s="9">
        <f t="shared" si="1"/>
        <v>-1.3181545835829939E-2</v>
      </c>
      <c r="L39" s="9">
        <f t="shared" si="1"/>
        <v>-3.4453057708870929E-3</v>
      </c>
      <c r="M39" s="9">
        <f t="shared" si="1"/>
        <v>0</v>
      </c>
      <c r="N39" s="9">
        <f t="shared" si="1"/>
        <v>7.2225869993433637E-3</v>
      </c>
      <c r="O39" s="9">
        <f t="shared" si="1"/>
        <v>1.1540680900172452E-3</v>
      </c>
      <c r="P39" s="9">
        <f t="shared" si="1"/>
        <v>1.0228640192539213E-2</v>
      </c>
      <c r="Q39" s="9">
        <f t="shared" si="1"/>
        <v>-5.1124744376275218E-4</v>
      </c>
      <c r="R39" s="9">
        <f t="shared" si="1"/>
        <v>3.8143674507310505E-3</v>
      </c>
      <c r="S39" s="9">
        <f t="shared" si="1"/>
        <v>9.9644128113879401E-3</v>
      </c>
      <c r="T39" s="9">
        <f t="shared" ref="T39:AC39" si="3">IFERROR((T9-T8)/T8,0)</f>
        <v>4.5219638242893316E-3</v>
      </c>
      <c r="U39" s="9">
        <f t="shared" si="3"/>
        <v>6.2305295950155761E-3</v>
      </c>
      <c r="V39" s="9">
        <f t="shared" si="3"/>
        <v>1.0249839846252367E-2</v>
      </c>
      <c r="W39" s="9">
        <f t="shared" si="3"/>
        <v>6.0080106809077246E-3</v>
      </c>
      <c r="X39" s="9">
        <f t="shared" si="3"/>
        <v>4.3532338308457002E-3</v>
      </c>
      <c r="Y39" s="9">
        <f t="shared" si="3"/>
        <v>1.3559322033898305E-2</v>
      </c>
      <c r="Z39" s="9">
        <f t="shared" si="3"/>
        <v>3.3178500331785005E-3</v>
      </c>
      <c r="AA39" s="9">
        <f t="shared" si="3"/>
        <v>1.3915243516761652E-2</v>
      </c>
      <c r="AB39" s="9">
        <f t="shared" si="3"/>
        <v>1.0126582278480976E-2</v>
      </c>
      <c r="AC39" s="9">
        <f t="shared" si="3"/>
        <v>1.0430247718383275E-2</v>
      </c>
    </row>
    <row r="40" spans="1:29" x14ac:dyDescent="0.35">
      <c r="A40" s="15" t="s">
        <v>30</v>
      </c>
      <c r="B40" s="15">
        <v>2021</v>
      </c>
      <c r="C40" s="15" t="s">
        <v>41</v>
      </c>
      <c r="D40" s="9">
        <f t="shared" si="1"/>
        <v>1.3413816230718784E-3</v>
      </c>
      <c r="E40" s="9">
        <f t="shared" si="1"/>
        <v>-1.6595542911332386E-2</v>
      </c>
      <c r="F40" s="9">
        <f t="shared" si="1"/>
        <v>-5.8918918918918949E-2</v>
      </c>
      <c r="G40" s="9">
        <f t="shared" si="1"/>
        <v>6.3211125158027818E-3</v>
      </c>
      <c r="H40" s="9">
        <f t="shared" si="1"/>
        <v>2.5791324736225123E-2</v>
      </c>
      <c r="I40" s="9">
        <f t="shared" si="1"/>
        <v>-5.6173200702164972E-2</v>
      </c>
      <c r="J40" s="9">
        <f t="shared" si="1"/>
        <v>-1.6630901287553616E-2</v>
      </c>
      <c r="K40" s="9">
        <f t="shared" si="1"/>
        <v>-1.2143290831814733E-3</v>
      </c>
      <c r="L40" s="9">
        <f t="shared" si="1"/>
        <v>4.0622299049265363E-2</v>
      </c>
      <c r="M40" s="9">
        <f t="shared" si="1"/>
        <v>4.2296072507552185E-3</v>
      </c>
      <c r="N40" s="9">
        <f t="shared" si="1"/>
        <v>9.1264667535854351E-3</v>
      </c>
      <c r="O40" s="9">
        <f t="shared" si="1"/>
        <v>9.2219020172910338E-3</v>
      </c>
      <c r="P40" s="9">
        <f t="shared" si="1"/>
        <v>-3.573555687909436E-3</v>
      </c>
      <c r="Q40" s="9">
        <f t="shared" si="1"/>
        <v>5.1150895140664966E-3</v>
      </c>
      <c r="R40" s="9">
        <f t="shared" si="1"/>
        <v>1.2032932235592183E-2</v>
      </c>
      <c r="S40" s="9">
        <f t="shared" si="1"/>
        <v>1.1980267794221202E-2</v>
      </c>
      <c r="T40" s="9">
        <f t="shared" ref="T40:AC40" si="4">IFERROR((T10-T9)/T9,0)</f>
        <v>1.1575562700964704E-2</v>
      </c>
      <c r="U40" s="9">
        <f t="shared" si="4"/>
        <v>3.7151702786377356E-3</v>
      </c>
      <c r="V40" s="9">
        <f t="shared" si="4"/>
        <v>1.9023462270133167E-2</v>
      </c>
      <c r="W40" s="9">
        <f t="shared" si="4"/>
        <v>1.6589250165892504E-2</v>
      </c>
      <c r="X40" s="9">
        <f t="shared" si="4"/>
        <v>8.049535603715241E-3</v>
      </c>
      <c r="Y40" s="9">
        <f t="shared" si="4"/>
        <v>6.020066889632145E-3</v>
      </c>
      <c r="Z40" s="9">
        <f t="shared" si="4"/>
        <v>1.6534391534391537E-2</v>
      </c>
      <c r="AA40" s="9">
        <f t="shared" si="4"/>
        <v>6.238303181534268E-4</v>
      </c>
      <c r="AB40" s="9">
        <f t="shared" si="4"/>
        <v>0</v>
      </c>
      <c r="AC40" s="9">
        <f t="shared" si="4"/>
        <v>6.4516129032258064E-3</v>
      </c>
    </row>
    <row r="41" spans="1:29" x14ac:dyDescent="0.35">
      <c r="A41" s="15" t="s">
        <v>30</v>
      </c>
      <c r="B41" s="15">
        <v>2021</v>
      </c>
      <c r="C41" s="15" t="s">
        <v>42</v>
      </c>
      <c r="D41" s="9">
        <f t="shared" si="1"/>
        <v>0</v>
      </c>
      <c r="E41" s="9">
        <f t="shared" si="1"/>
        <v>0</v>
      </c>
      <c r="F41" s="9">
        <f t="shared" si="1"/>
        <v>0</v>
      </c>
      <c r="G41" s="9">
        <f t="shared" si="1"/>
        <v>-6.2814070351755228E-4</v>
      </c>
      <c r="H41" s="9">
        <f t="shared" si="1"/>
        <v>0</v>
      </c>
      <c r="I41" s="9">
        <f t="shared" si="1"/>
        <v>-6.1996280223200701E-4</v>
      </c>
      <c r="J41" s="9">
        <f t="shared" si="1"/>
        <v>1.0911074740861354E-3</v>
      </c>
      <c r="K41" s="9">
        <f t="shared" si="1"/>
        <v>0</v>
      </c>
      <c r="L41" s="9">
        <f t="shared" si="1"/>
        <v>0</v>
      </c>
      <c r="M41" s="9">
        <f t="shared" si="1"/>
        <v>0</v>
      </c>
      <c r="N41" s="9">
        <f t="shared" si="1"/>
        <v>0</v>
      </c>
      <c r="O41" s="9">
        <f t="shared" si="1"/>
        <v>0</v>
      </c>
      <c r="P41" s="9">
        <f t="shared" si="1"/>
        <v>0</v>
      </c>
      <c r="Q41" s="9">
        <f t="shared" si="1"/>
        <v>0</v>
      </c>
      <c r="R41" s="9">
        <f t="shared" si="1"/>
        <v>0</v>
      </c>
      <c r="S41" s="9">
        <f t="shared" si="1"/>
        <v>0</v>
      </c>
      <c r="T41" s="9">
        <f t="shared" ref="T41:AC41" si="5">IFERROR((T11-T10)/T10,0)</f>
        <v>6.3572790845514498E-4</v>
      </c>
      <c r="U41" s="9">
        <f t="shared" si="5"/>
        <v>0</v>
      </c>
      <c r="V41" s="9">
        <f t="shared" si="5"/>
        <v>6.2227753578109979E-4</v>
      </c>
      <c r="W41" s="9">
        <f t="shared" si="5"/>
        <v>6.5274151436046175E-4</v>
      </c>
      <c r="X41" s="9">
        <f t="shared" si="5"/>
        <v>0</v>
      </c>
      <c r="Y41" s="9">
        <f t="shared" si="5"/>
        <v>6.6489361702123874E-4</v>
      </c>
      <c r="Z41" s="9">
        <f t="shared" si="5"/>
        <v>1.3012361743657585E-3</v>
      </c>
      <c r="AA41" s="9">
        <f t="shared" si="5"/>
        <v>-6.2344139650869271E-4</v>
      </c>
      <c r="AB41" s="9">
        <f t="shared" si="5"/>
        <v>0</v>
      </c>
      <c r="AC41" s="9">
        <f t="shared" si="5"/>
        <v>0</v>
      </c>
    </row>
    <row r="42" spans="1:29" x14ac:dyDescent="0.35">
      <c r="A42" s="15" t="s">
        <v>30</v>
      </c>
      <c r="B42" s="15">
        <v>2021</v>
      </c>
      <c r="C42" s="15" t="s">
        <v>43</v>
      </c>
      <c r="D42" s="9">
        <f t="shared" si="1"/>
        <v>5.358338914936255E-3</v>
      </c>
      <c r="E42" s="9">
        <f t="shared" si="1"/>
        <v>4.8216007714561235E-3</v>
      </c>
      <c r="F42" s="9">
        <f t="shared" si="1"/>
        <v>-6.3182079264790022E-3</v>
      </c>
      <c r="G42" s="9">
        <f t="shared" si="1"/>
        <v>6.2853551225640683E-4</v>
      </c>
      <c r="H42" s="9">
        <f t="shared" si="1"/>
        <v>9.1428571428571106E-3</v>
      </c>
      <c r="I42" s="9">
        <f t="shared" si="1"/>
        <v>-1.1786600496277775E-2</v>
      </c>
      <c r="J42" s="9">
        <f t="shared" si="1"/>
        <v>0.16839237057220713</v>
      </c>
      <c r="K42" s="9">
        <f t="shared" si="1"/>
        <v>4.8632218844985491E-3</v>
      </c>
      <c r="L42" s="9">
        <f t="shared" si="1"/>
        <v>1.744186046511623E-2</v>
      </c>
      <c r="M42" s="9">
        <f t="shared" si="1"/>
        <v>3.6101083032492346E-3</v>
      </c>
      <c r="N42" s="9">
        <f t="shared" si="1"/>
        <v>3.8759689922480251E-3</v>
      </c>
      <c r="O42" s="9">
        <f t="shared" si="1"/>
        <v>4.5688178183895568E-3</v>
      </c>
      <c r="P42" s="9">
        <f t="shared" si="1"/>
        <v>2.5104602510460181E-2</v>
      </c>
      <c r="Q42" s="9">
        <f t="shared" si="1"/>
        <v>2.5445292620865142E-3</v>
      </c>
      <c r="R42" s="9">
        <f t="shared" si="1"/>
        <v>6.2578222778473091E-3</v>
      </c>
      <c r="S42" s="9">
        <f t="shared" si="1"/>
        <v>5.5710306406686035E-3</v>
      </c>
      <c r="T42" s="9">
        <f t="shared" ref="T42:AC42" si="6">IFERROR((T12-T11)/T11,0)</f>
        <v>5.7179161372300233E-3</v>
      </c>
      <c r="U42" s="9">
        <f t="shared" si="6"/>
        <v>9.2535471930906849E-3</v>
      </c>
      <c r="V42" s="9">
        <f t="shared" si="6"/>
        <v>8.7064676616914003E-3</v>
      </c>
      <c r="W42" s="9">
        <f t="shared" si="6"/>
        <v>6.5231572080887146E-3</v>
      </c>
      <c r="X42" s="9">
        <f t="shared" si="6"/>
        <v>4.2997542997542295E-3</v>
      </c>
      <c r="Y42" s="9">
        <f t="shared" si="6"/>
        <v>1.1295681063122847E-2</v>
      </c>
      <c r="Z42" s="9">
        <f t="shared" si="6"/>
        <v>7.7972709551656178E-3</v>
      </c>
      <c r="AA42" s="9">
        <f t="shared" si="6"/>
        <v>0</v>
      </c>
      <c r="AB42" s="9">
        <f t="shared" si="6"/>
        <v>4.3859649122808091E-3</v>
      </c>
      <c r="AC42" s="9">
        <f t="shared" si="6"/>
        <v>6.41025641025641E-3</v>
      </c>
    </row>
    <row r="43" spans="1:29" x14ac:dyDescent="0.35">
      <c r="A43" s="15" t="s">
        <v>30</v>
      </c>
      <c r="B43" s="15">
        <v>2021</v>
      </c>
      <c r="C43" s="15" t="s">
        <v>45</v>
      </c>
      <c r="D43" s="9">
        <f t="shared" si="1"/>
        <v>5.9960026648901111E-3</v>
      </c>
      <c r="E43" s="9">
        <f t="shared" si="1"/>
        <v>-1.6794625719769675E-2</v>
      </c>
      <c r="F43" s="9">
        <f t="shared" si="1"/>
        <v>1.3872832369942229E-2</v>
      </c>
      <c r="G43" s="9">
        <f t="shared" si="1"/>
        <v>2.5125628140703878E-3</v>
      </c>
      <c r="H43" s="9">
        <f t="shared" si="1"/>
        <v>-4.5300113250282157E-3</v>
      </c>
      <c r="I43" s="9">
        <f t="shared" si="1"/>
        <v>6.2774639045825482E-3</v>
      </c>
      <c r="J43" s="9">
        <f t="shared" si="1"/>
        <v>6.8563432835820837E-2</v>
      </c>
      <c r="K43" s="9">
        <f t="shared" si="1"/>
        <v>-1.2099213551120208E-3</v>
      </c>
      <c r="L43" s="9">
        <f t="shared" si="1"/>
        <v>4.8979591836734232E-3</v>
      </c>
      <c r="M43" s="9">
        <f t="shared" si="1"/>
        <v>2.3980815347720459E-3</v>
      </c>
      <c r="N43" s="9">
        <f t="shared" si="1"/>
        <v>4.5045045045044316E-3</v>
      </c>
      <c r="O43" s="9">
        <f t="shared" si="1"/>
        <v>5.1165434906197023E-3</v>
      </c>
      <c r="P43" s="9">
        <f t="shared" si="1"/>
        <v>1.1661807580174927E-2</v>
      </c>
      <c r="Q43" s="9">
        <f t="shared" si="1"/>
        <v>0</v>
      </c>
      <c r="R43" s="9">
        <f t="shared" si="1"/>
        <v>9.3283582089552231E-3</v>
      </c>
      <c r="S43" s="9">
        <f t="shared" si="1"/>
        <v>6.2326869806094577E-3</v>
      </c>
      <c r="T43" s="9">
        <f t="shared" ref="T43:AC43" si="7">IFERROR((T13-T12)/T12,0)</f>
        <v>8.84396715097901E-3</v>
      </c>
      <c r="U43" s="9">
        <f t="shared" si="7"/>
        <v>3.6674816625916523E-3</v>
      </c>
      <c r="V43" s="9">
        <f t="shared" si="7"/>
        <v>-3.6991368680640837E-3</v>
      </c>
      <c r="W43" s="9">
        <f t="shared" si="7"/>
        <v>5.8327932598831967E-3</v>
      </c>
      <c r="X43" s="9">
        <f t="shared" si="7"/>
        <v>4.281345565749166E-3</v>
      </c>
      <c r="Y43" s="9">
        <f t="shared" si="7"/>
        <v>-6.5703022339027601E-3</v>
      </c>
      <c r="Z43" s="9">
        <f t="shared" si="7"/>
        <v>1.0315925209542194E-2</v>
      </c>
      <c r="AA43" s="9">
        <f t="shared" si="7"/>
        <v>3.1191515907673111E-3</v>
      </c>
      <c r="AB43" s="9">
        <f t="shared" si="7"/>
        <v>9.3574547723019336E-3</v>
      </c>
      <c r="AC43" s="9">
        <f t="shared" si="7"/>
        <v>1.9108280254777794E-3</v>
      </c>
    </row>
    <row r="44" spans="1:29" x14ac:dyDescent="0.35">
      <c r="A44" s="15" t="s">
        <v>30</v>
      </c>
      <c r="B44" s="15">
        <v>2021</v>
      </c>
      <c r="C44" s="15" t="s">
        <v>46</v>
      </c>
      <c r="D44" s="9">
        <f t="shared" si="1"/>
        <v>3.9735099337747971E-3</v>
      </c>
      <c r="E44" s="9">
        <f t="shared" si="1"/>
        <v>-1.3177159590044007E-2</v>
      </c>
      <c r="F44" s="9">
        <f t="shared" si="1"/>
        <v>2.6225769669327218E-2</v>
      </c>
      <c r="G44" s="9">
        <f t="shared" si="1"/>
        <v>2.5062656641604369E-3</v>
      </c>
      <c r="H44" s="9">
        <f t="shared" si="1"/>
        <v>-1.3083048919226457E-2</v>
      </c>
      <c r="I44" s="9">
        <f t="shared" si="1"/>
        <v>-1.2476606363069244E-2</v>
      </c>
      <c r="J44" s="9">
        <f t="shared" si="1"/>
        <v>-4.1903099083369685E-2</v>
      </c>
      <c r="K44" s="9">
        <f t="shared" si="1"/>
        <v>-5.4512416717141469E-3</v>
      </c>
      <c r="L44" s="9">
        <f t="shared" si="1"/>
        <v>-9.748172217709088E-3</v>
      </c>
      <c r="M44" s="9">
        <f t="shared" si="1"/>
        <v>5.9808612440191387E-3</v>
      </c>
      <c r="N44" s="9">
        <f t="shared" si="1"/>
        <v>2.5624599615631373E-3</v>
      </c>
      <c r="O44" s="9">
        <f t="shared" si="1"/>
        <v>7.9185520361989663E-3</v>
      </c>
      <c r="P44" s="9">
        <f t="shared" si="1"/>
        <v>-7.4927953890490569E-3</v>
      </c>
      <c r="Q44" s="9">
        <f t="shared" si="1"/>
        <v>-1.0152284263958815E-3</v>
      </c>
      <c r="R44" s="9">
        <f t="shared" si="1"/>
        <v>6.1614294516327784E-3</v>
      </c>
      <c r="S44" s="9">
        <f t="shared" si="1"/>
        <v>9.6352374397796082E-3</v>
      </c>
      <c r="T44" s="9">
        <f t="shared" ref="T44:AC44" si="8">IFERROR((T14-T13)/T13,0)</f>
        <v>6.261740763932374E-3</v>
      </c>
      <c r="U44" s="9">
        <f t="shared" si="8"/>
        <v>-4.8721071863579964E-3</v>
      </c>
      <c r="V44" s="9">
        <f t="shared" si="8"/>
        <v>6.1881188118808369E-4</v>
      </c>
      <c r="W44" s="9">
        <f t="shared" si="8"/>
        <v>5.1546391752578056E-3</v>
      </c>
      <c r="X44" s="9">
        <f t="shared" si="8"/>
        <v>5.4811205846528972E-3</v>
      </c>
      <c r="Y44" s="9">
        <f t="shared" si="8"/>
        <v>3.968253968254119E-3</v>
      </c>
      <c r="Z44" s="9">
        <f t="shared" si="8"/>
        <v>5.7434588385450267E-3</v>
      </c>
      <c r="AA44" s="9">
        <f t="shared" si="8"/>
        <v>-1.2437810945274692E-3</v>
      </c>
      <c r="AB44" s="9">
        <f t="shared" si="8"/>
        <v>3.7082818294190004E-3</v>
      </c>
      <c r="AC44" s="9">
        <f t="shared" si="8"/>
        <v>3.1786395422759056E-3</v>
      </c>
    </row>
    <row r="45" spans="1:29" x14ac:dyDescent="0.35">
      <c r="A45" s="15" t="s">
        <v>30</v>
      </c>
      <c r="B45" s="15">
        <v>2022</v>
      </c>
      <c r="C45" s="15" t="s">
        <v>31</v>
      </c>
      <c r="D45" s="9">
        <f t="shared" si="1"/>
        <v>3.9577836411609129E-3</v>
      </c>
      <c r="E45" s="9">
        <f t="shared" si="1"/>
        <v>-4.9455984174082254E-4</v>
      </c>
      <c r="F45" s="9">
        <f t="shared" si="1"/>
        <v>5.55555555555524E-4</v>
      </c>
      <c r="G45" s="9">
        <f t="shared" si="1"/>
        <v>2.5000000000000356E-3</v>
      </c>
      <c r="H45" s="9">
        <f t="shared" si="1"/>
        <v>-1.4409221902017291E-2</v>
      </c>
      <c r="I45" s="9">
        <f t="shared" si="1"/>
        <v>-1.137081490840184E-2</v>
      </c>
      <c r="J45" s="9">
        <f t="shared" si="1"/>
        <v>-7.2437357630979526E-2</v>
      </c>
      <c r="K45" s="9">
        <f t="shared" si="1"/>
        <v>-2.4360535931789115E-3</v>
      </c>
      <c r="L45" s="9">
        <f t="shared" si="1"/>
        <v>-4.9220672682527356E-3</v>
      </c>
      <c r="M45" s="9">
        <f t="shared" si="1"/>
        <v>9.51248513674211E-3</v>
      </c>
      <c r="N45" s="9">
        <f t="shared" si="1"/>
        <v>6.389776357827113E-4</v>
      </c>
      <c r="O45" s="9">
        <f t="shared" si="1"/>
        <v>4.4893378226712197E-3</v>
      </c>
      <c r="P45" s="9">
        <f t="shared" si="1"/>
        <v>-1.1033681765388952E-2</v>
      </c>
      <c r="Q45" s="9">
        <f t="shared" si="1"/>
        <v>-2.0325203252032809E-3</v>
      </c>
      <c r="R45" s="9">
        <f t="shared" si="1"/>
        <v>8.5731781996324381E-3</v>
      </c>
      <c r="S45" s="9">
        <f t="shared" si="1"/>
        <v>1.2269938650306827E-2</v>
      </c>
      <c r="T45" s="9">
        <f t="shared" ref="T45:AC45" si="9">IFERROR((T15-T14)/T14,0)</f>
        <v>9.3341630367143758E-3</v>
      </c>
      <c r="U45" s="9">
        <f t="shared" si="9"/>
        <v>6.7319461444308093E-3</v>
      </c>
      <c r="V45" s="9">
        <f t="shared" si="9"/>
        <v>-6.184291898577262E-4</v>
      </c>
      <c r="W45" s="9">
        <f t="shared" si="9"/>
        <v>5.1282051282052011E-3</v>
      </c>
      <c r="X45" s="9">
        <f t="shared" si="9"/>
        <v>6.0569351907934586E-3</v>
      </c>
      <c r="Y45" s="9">
        <f t="shared" si="9"/>
        <v>5.928853754940561E-3</v>
      </c>
      <c r="Z45" s="9">
        <f t="shared" si="9"/>
        <v>5.0761421319797679E-3</v>
      </c>
      <c r="AA45" s="9">
        <f t="shared" si="9"/>
        <v>2.4906600249066358E-3</v>
      </c>
      <c r="AB45" s="9">
        <f t="shared" si="9"/>
        <v>2.4630541871921529E-3</v>
      </c>
      <c r="AC45" s="9">
        <f t="shared" si="9"/>
        <v>5.069708491761615E-3</v>
      </c>
    </row>
    <row r="46" spans="1:29" x14ac:dyDescent="0.35">
      <c r="A46" s="15" t="s">
        <v>30</v>
      </c>
      <c r="B46" s="15">
        <v>2022</v>
      </c>
      <c r="C46" s="15" t="s">
        <v>35</v>
      </c>
      <c r="D46" s="9">
        <f t="shared" si="1"/>
        <v>1.9710906701709027E-3</v>
      </c>
      <c r="E46" s="9">
        <f t="shared" si="1"/>
        <v>1.5338941118258261E-2</v>
      </c>
      <c r="F46" s="9">
        <f t="shared" si="1"/>
        <v>-2.0544142143253685E-2</v>
      </c>
      <c r="G46" s="9">
        <f t="shared" si="1"/>
        <v>1.2468827930173854E-3</v>
      </c>
      <c r="H46" s="9">
        <f t="shared" si="1"/>
        <v>2.9239766081871343E-3</v>
      </c>
      <c r="I46" s="9">
        <f t="shared" si="1"/>
        <v>-6.389776357827113E-4</v>
      </c>
      <c r="J46" s="9">
        <f t="shared" si="1"/>
        <v>-2.7504911591355572E-2</v>
      </c>
      <c r="K46" s="9">
        <f t="shared" si="1"/>
        <v>-3.6630036630038013E-3</v>
      </c>
      <c r="L46" s="9">
        <f t="shared" si="1"/>
        <v>-5.7708161582852666E-3</v>
      </c>
      <c r="M46" s="9">
        <f t="shared" si="1"/>
        <v>1.4134275618374423E-2</v>
      </c>
      <c r="N46" s="9">
        <f t="shared" si="1"/>
        <v>6.3856960408680918E-4</v>
      </c>
      <c r="O46" s="9">
        <f t="shared" si="1"/>
        <v>5.5865921787709499E-3</v>
      </c>
      <c r="P46" s="9">
        <f t="shared" si="1"/>
        <v>-5.8719906048163668E-4</v>
      </c>
      <c r="Q46" s="9">
        <f t="shared" si="1"/>
        <v>5.0916496945007284E-4</v>
      </c>
      <c r="R46" s="9">
        <f t="shared" si="1"/>
        <v>6.0716454159077116E-3</v>
      </c>
      <c r="S46" s="9">
        <f t="shared" si="1"/>
        <v>1.2794612794612832E-2</v>
      </c>
      <c r="T46" s="9">
        <f t="shared" ref="T46:AC46" si="10">IFERROR((T16-T15)/T15,0)</f>
        <v>7.3982737361283427E-3</v>
      </c>
      <c r="U46" s="9">
        <f t="shared" si="10"/>
        <v>6.0790273556231003E-3</v>
      </c>
      <c r="V46" s="9">
        <f t="shared" si="10"/>
        <v>8.6633663366336988E-3</v>
      </c>
      <c r="W46" s="9">
        <f t="shared" si="10"/>
        <v>3.8265306122448614E-3</v>
      </c>
      <c r="X46" s="9">
        <f t="shared" si="10"/>
        <v>6.6225165562913569E-3</v>
      </c>
      <c r="Y46" s="9">
        <f t="shared" si="10"/>
        <v>2.6195153896529516E-3</v>
      </c>
      <c r="Z46" s="9">
        <f t="shared" si="10"/>
        <v>6.9444444444444085E-3</v>
      </c>
      <c r="AA46" s="9">
        <f t="shared" si="10"/>
        <v>6.2111801242236021E-3</v>
      </c>
      <c r="AB46" s="9">
        <f t="shared" si="10"/>
        <v>8.599508599508459E-3</v>
      </c>
      <c r="AC46" s="9">
        <f t="shared" si="10"/>
        <v>5.0441361916772473E-3</v>
      </c>
    </row>
    <row r="47" spans="1:29" x14ac:dyDescent="0.35">
      <c r="A47" s="15" t="s">
        <v>30</v>
      </c>
      <c r="B47" s="15">
        <v>2022</v>
      </c>
      <c r="C47" s="15" t="s">
        <v>36</v>
      </c>
      <c r="D47" s="9">
        <f t="shared" si="1"/>
        <v>7.8688524590163188E-3</v>
      </c>
      <c r="E47" s="9">
        <f t="shared" si="1"/>
        <v>5.1656920077972825E-2</v>
      </c>
      <c r="F47" s="9">
        <f t="shared" si="1"/>
        <v>-4.9319727891156559E-2</v>
      </c>
      <c r="G47" s="9">
        <f t="shared" si="1"/>
        <v>1.2453300124533002E-2</v>
      </c>
      <c r="H47" s="9">
        <f t="shared" si="1"/>
        <v>4.9562682215743441E-2</v>
      </c>
      <c r="I47" s="9">
        <f t="shared" si="1"/>
        <v>2.046035805626591E-2</v>
      </c>
      <c r="J47" s="9">
        <f t="shared" si="1"/>
        <v>-4.8484848484848457E-2</v>
      </c>
      <c r="K47" s="9">
        <f t="shared" si="1"/>
        <v>1.2254901960785359E-3</v>
      </c>
      <c r="L47" s="9">
        <f t="shared" si="1"/>
        <v>-2.4875621890547029E-3</v>
      </c>
      <c r="M47" s="9">
        <f t="shared" si="1"/>
        <v>1.4518002322880372E-2</v>
      </c>
      <c r="N47" s="9">
        <f t="shared" si="1"/>
        <v>2.552648372686699E-3</v>
      </c>
      <c r="O47" s="9">
        <f t="shared" si="1"/>
        <v>8.3333333333333332E-3</v>
      </c>
      <c r="P47" s="9">
        <f t="shared" si="1"/>
        <v>7.6380728554642273E-3</v>
      </c>
      <c r="Q47" s="9">
        <f t="shared" si="1"/>
        <v>5.0890585241730284E-3</v>
      </c>
      <c r="R47" s="9">
        <f t="shared" si="1"/>
        <v>8.4490042245021473E-3</v>
      </c>
      <c r="S47" s="9">
        <f t="shared" si="1"/>
        <v>1.4627659574468009E-2</v>
      </c>
      <c r="T47" s="9">
        <f t="shared" ref="T47:AC47" si="11">IFERROR((T17-T16)/T16,0)</f>
        <v>9.1799265605875154E-3</v>
      </c>
      <c r="U47" s="9">
        <f t="shared" si="11"/>
        <v>-1.2084592145014418E-3</v>
      </c>
      <c r="V47" s="9">
        <f t="shared" si="11"/>
        <v>9.202453987730062E-3</v>
      </c>
      <c r="W47" s="9">
        <f t="shared" si="11"/>
        <v>7.6238881829732439E-3</v>
      </c>
      <c r="X47" s="9">
        <f t="shared" si="11"/>
        <v>5.9808612440191387E-3</v>
      </c>
      <c r="Y47" s="9">
        <f t="shared" si="11"/>
        <v>7.1848465055518902E-3</v>
      </c>
      <c r="Z47" s="9">
        <f t="shared" si="11"/>
        <v>8.150470219435808E-3</v>
      </c>
      <c r="AA47" s="9">
        <f t="shared" si="11"/>
        <v>4.3209876543209179E-3</v>
      </c>
      <c r="AB47" s="9">
        <f t="shared" si="11"/>
        <v>1.5834348355663965E-2</v>
      </c>
      <c r="AC47" s="9">
        <f t="shared" si="11"/>
        <v>7.5282308657464783E-3</v>
      </c>
    </row>
    <row r="48" spans="1:29" x14ac:dyDescent="0.35">
      <c r="A48" s="15" t="s">
        <v>30</v>
      </c>
      <c r="B48" s="15">
        <v>2022</v>
      </c>
      <c r="C48" s="15" t="s">
        <v>37</v>
      </c>
      <c r="D48" s="9">
        <f t="shared" si="1"/>
        <v>1.1060507482108115E-2</v>
      </c>
      <c r="E48" s="9">
        <f t="shared" si="1"/>
        <v>0</v>
      </c>
      <c r="F48" s="9">
        <f t="shared" si="1"/>
        <v>-1.84853905784138E-2</v>
      </c>
      <c r="G48" s="9">
        <f t="shared" si="1"/>
        <v>9.8400984009839754E-3</v>
      </c>
      <c r="H48" s="9">
        <f t="shared" si="1"/>
        <v>3.3333333333333333E-2</v>
      </c>
      <c r="I48" s="9">
        <f t="shared" si="1"/>
        <v>0.10213032581453642</v>
      </c>
      <c r="J48" s="9">
        <f t="shared" si="1"/>
        <v>1.2208067940551926E-2</v>
      </c>
      <c r="K48" s="9">
        <f t="shared" si="1"/>
        <v>3.6719706242349711E-3</v>
      </c>
      <c r="L48" s="9">
        <f t="shared" si="1"/>
        <v>1.6625103906899655E-3</v>
      </c>
      <c r="M48" s="9">
        <f t="shared" si="1"/>
        <v>1.8889524899828345E-2</v>
      </c>
      <c r="N48" s="9">
        <f t="shared" si="1"/>
        <v>2.5461489497135945E-3</v>
      </c>
      <c r="O48" s="9">
        <f t="shared" si="1"/>
        <v>9.9173553719008895E-3</v>
      </c>
      <c r="P48" s="9">
        <f t="shared" si="1"/>
        <v>1.7492711370262391E-2</v>
      </c>
      <c r="Q48" s="9">
        <f t="shared" si="1"/>
        <v>-2.0253164556962313E-3</v>
      </c>
      <c r="R48" s="9">
        <f t="shared" si="1"/>
        <v>7.7797725912627852E-3</v>
      </c>
      <c r="S48" s="9">
        <f t="shared" si="1"/>
        <v>1.2450851900393222E-2</v>
      </c>
      <c r="T48" s="9">
        <f t="shared" ref="T48:AC48" si="12">IFERROR((T18-T17)/T17,0)</f>
        <v>8.4899939357186514E-3</v>
      </c>
      <c r="U48" s="9">
        <f t="shared" si="12"/>
        <v>1.0284331518451231E-2</v>
      </c>
      <c r="V48" s="9">
        <f t="shared" si="12"/>
        <v>3.64741641337386E-2</v>
      </c>
      <c r="W48" s="9">
        <f t="shared" si="12"/>
        <v>7.5662042875158705E-3</v>
      </c>
      <c r="X48" s="9">
        <f t="shared" si="12"/>
        <v>4.756242568371055E-3</v>
      </c>
      <c r="Y48" s="9">
        <f t="shared" si="12"/>
        <v>3.3073929961089647E-2</v>
      </c>
      <c r="Z48" s="9">
        <f t="shared" si="12"/>
        <v>8.7064676616914003E-3</v>
      </c>
      <c r="AA48" s="9">
        <f t="shared" si="12"/>
        <v>7.9901659496005618E-3</v>
      </c>
      <c r="AB48" s="9">
        <f t="shared" si="12"/>
        <v>9.5923261390886937E-3</v>
      </c>
      <c r="AC48" s="9">
        <f t="shared" si="12"/>
        <v>1.5566625155666251E-2</v>
      </c>
    </row>
    <row r="49" spans="1:29" x14ac:dyDescent="0.35">
      <c r="A49" s="15" t="s">
        <v>30</v>
      </c>
      <c r="B49" s="15">
        <v>2022</v>
      </c>
      <c r="C49" s="15" t="s">
        <v>38</v>
      </c>
      <c r="D49" s="9">
        <f t="shared" si="1"/>
        <v>8.3655083655082563E-3</v>
      </c>
      <c r="E49" s="9">
        <f t="shared" si="1"/>
        <v>2.5023169601482747E-2</v>
      </c>
      <c r="F49" s="9">
        <f t="shared" si="1"/>
        <v>-3.0376670716889429E-3</v>
      </c>
      <c r="G49" s="9">
        <f t="shared" si="1"/>
        <v>7.3081607795372544E-3</v>
      </c>
      <c r="H49" s="9">
        <f t="shared" si="1"/>
        <v>1.8817204301075269E-2</v>
      </c>
      <c r="I49" s="9">
        <f t="shared" si="1"/>
        <v>-7.9590676520750747E-3</v>
      </c>
      <c r="J49" s="9">
        <f t="shared" si="1"/>
        <v>6.5547981122181437E-2</v>
      </c>
      <c r="K49" s="9">
        <f t="shared" si="1"/>
        <v>6.0975609756094091E-4</v>
      </c>
      <c r="L49" s="9">
        <f t="shared" si="1"/>
        <v>5.8091286307054178E-3</v>
      </c>
      <c r="M49" s="9">
        <f t="shared" si="1"/>
        <v>1.9101123595505649E-2</v>
      </c>
      <c r="N49" s="9">
        <f t="shared" si="1"/>
        <v>6.3492063492063492E-3</v>
      </c>
      <c r="O49" s="9">
        <f t="shared" si="1"/>
        <v>8.728859792689548E-3</v>
      </c>
      <c r="P49" s="9">
        <f t="shared" si="1"/>
        <v>1.7191977077363897E-2</v>
      </c>
      <c r="Q49" s="9">
        <f t="shared" si="1"/>
        <v>2.0294266869609625E-3</v>
      </c>
      <c r="R49" s="9">
        <f t="shared" si="1"/>
        <v>9.5011876484560227E-3</v>
      </c>
      <c r="S49" s="9">
        <f t="shared" si="1"/>
        <v>9.0614886731391949E-3</v>
      </c>
      <c r="T49" s="9">
        <f t="shared" ref="T49:AC49" si="13">IFERROR((T19-T18)/T18,0)</f>
        <v>9.019843656043294E-3</v>
      </c>
      <c r="U49" s="9">
        <f t="shared" si="13"/>
        <v>2.9940119760479044E-3</v>
      </c>
      <c r="V49" s="9">
        <f t="shared" si="13"/>
        <v>1.7595307917888565E-2</v>
      </c>
      <c r="W49" s="9">
        <f t="shared" si="13"/>
        <v>8.1351689612013944E-3</v>
      </c>
      <c r="X49" s="9">
        <f t="shared" si="13"/>
        <v>6.5088757396449363E-3</v>
      </c>
      <c r="Y49" s="9">
        <f t="shared" si="13"/>
        <v>6.2774639045821913E-4</v>
      </c>
      <c r="Z49" s="9">
        <f t="shared" si="13"/>
        <v>6.1652281134401974E-3</v>
      </c>
      <c r="AA49" s="9">
        <f t="shared" si="13"/>
        <v>7.3170731707316384E-3</v>
      </c>
      <c r="AB49" s="9">
        <f t="shared" si="13"/>
        <v>-1.1876484560571084E-3</v>
      </c>
      <c r="AC49" s="9">
        <f t="shared" si="13"/>
        <v>4.2918454935623367E-3</v>
      </c>
    </row>
    <row r="50" spans="1:29" x14ac:dyDescent="0.35">
      <c r="A50" s="15" t="s">
        <v>30</v>
      </c>
      <c r="B50" s="15">
        <v>2022</v>
      </c>
      <c r="C50" s="15" t="s">
        <v>39</v>
      </c>
      <c r="D50" s="9">
        <f t="shared" si="1"/>
        <v>5.105296745373398E-3</v>
      </c>
      <c r="E50" s="9">
        <f t="shared" si="1"/>
        <v>9.9457504520796443E-3</v>
      </c>
      <c r="F50" s="9">
        <f t="shared" si="1"/>
        <v>5.3016453382084203E-2</v>
      </c>
      <c r="G50" s="9">
        <f t="shared" si="1"/>
        <v>6.0459492140266021E-3</v>
      </c>
      <c r="H50" s="9">
        <f t="shared" si="1"/>
        <v>-4.74934036939317E-3</v>
      </c>
      <c r="I50" s="9">
        <f t="shared" si="1"/>
        <v>-2.2922636103152186E-3</v>
      </c>
      <c r="J50" s="9">
        <f t="shared" si="1"/>
        <v>4.0846456692913445E-2</v>
      </c>
      <c r="K50" s="9">
        <f t="shared" si="1"/>
        <v>-3.0469226081657527E-3</v>
      </c>
      <c r="L50" s="9">
        <f t="shared" si="1"/>
        <v>1.6501650165016736E-3</v>
      </c>
      <c r="M50" s="9">
        <f t="shared" si="1"/>
        <v>1.1576626240352779E-2</v>
      </c>
      <c r="N50" s="9">
        <f t="shared" si="1"/>
        <v>3.7854889589905003E-3</v>
      </c>
      <c r="O50" s="9">
        <f t="shared" si="1"/>
        <v>7.5716603569497328E-3</v>
      </c>
      <c r="P50" s="9">
        <f t="shared" si="1"/>
        <v>1.0140845070422599E-2</v>
      </c>
      <c r="Q50" s="9">
        <f t="shared" si="1"/>
        <v>4.0506329113924626E-3</v>
      </c>
      <c r="R50" s="9">
        <f t="shared" si="1"/>
        <v>9.4117647058823192E-3</v>
      </c>
      <c r="S50" s="9">
        <f t="shared" si="1"/>
        <v>9.6215522771007055E-3</v>
      </c>
      <c r="T50" s="9">
        <f t="shared" ref="T50:AC50" si="14">IFERROR((T20-T19)/T19,0)</f>
        <v>9.5351609058402509E-3</v>
      </c>
      <c r="U50" s="9">
        <f t="shared" si="14"/>
        <v>-4.1791044776118723E-3</v>
      </c>
      <c r="V50" s="9">
        <f t="shared" si="14"/>
        <v>8.0691642651297153E-3</v>
      </c>
      <c r="W50" s="9">
        <f t="shared" si="14"/>
        <v>6.2073246430788334E-3</v>
      </c>
      <c r="X50" s="9">
        <f t="shared" si="14"/>
        <v>4.7031158142269922E-3</v>
      </c>
      <c r="Y50" s="9">
        <f t="shared" si="14"/>
        <v>-1.3801756587202113E-2</v>
      </c>
      <c r="Z50" s="9">
        <f t="shared" si="14"/>
        <v>5.5147058823529762E-3</v>
      </c>
      <c r="AA50" s="9">
        <f t="shared" si="14"/>
        <v>7.8692493946731935E-3</v>
      </c>
      <c r="AB50" s="9">
        <f t="shared" si="14"/>
        <v>5.945303210463734E-3</v>
      </c>
      <c r="AC50" s="9">
        <f t="shared" si="14"/>
        <v>0</v>
      </c>
    </row>
    <row r="51" spans="1:29" x14ac:dyDescent="0.35">
      <c r="A51" s="15" t="s">
        <v>30</v>
      </c>
      <c r="B51" s="15">
        <v>2022</v>
      </c>
      <c r="C51" s="15" t="s">
        <v>40</v>
      </c>
      <c r="D51" s="9">
        <f t="shared" si="1"/>
        <v>1.1428571428571501E-2</v>
      </c>
      <c r="E51" s="9">
        <f t="shared" si="1"/>
        <v>-2.8200537153088682E-2</v>
      </c>
      <c r="F51" s="9">
        <f t="shared" si="1"/>
        <v>2.1990740740740641E-2</v>
      </c>
      <c r="G51" s="9">
        <f t="shared" si="1"/>
        <v>4.2067307692307005E-3</v>
      </c>
      <c r="H51" s="9">
        <f t="shared" si="1"/>
        <v>-2.014846235418867E-2</v>
      </c>
      <c r="I51" s="9">
        <f t="shared" si="1"/>
        <v>3.1016657093624389E-2</v>
      </c>
      <c r="J51" s="9">
        <f t="shared" si="1"/>
        <v>-1.4184397163120567E-2</v>
      </c>
      <c r="K51" s="9">
        <f t="shared" si="1"/>
        <v>2.4449877750611594E-3</v>
      </c>
      <c r="L51" s="9">
        <f t="shared" si="1"/>
        <v>8.2372322899501083E-4</v>
      </c>
      <c r="M51" s="9">
        <f t="shared" si="1"/>
        <v>1.5258855585831125E-2</v>
      </c>
      <c r="N51" s="9">
        <f t="shared" si="1"/>
        <v>4.3997485857952051E-3</v>
      </c>
      <c r="O51" s="9">
        <f t="shared" si="1"/>
        <v>7.514761137949421E-3</v>
      </c>
      <c r="P51" s="9">
        <f t="shared" si="1"/>
        <v>5.5772448410482047E-4</v>
      </c>
      <c r="Q51" s="9">
        <f t="shared" si="1"/>
        <v>1.5128593040846341E-3</v>
      </c>
      <c r="R51" s="9">
        <f t="shared" si="1"/>
        <v>6.4102564102563771E-3</v>
      </c>
      <c r="S51" s="9">
        <f t="shared" si="1"/>
        <v>8.2592121982209849E-3</v>
      </c>
      <c r="T51" s="9">
        <f t="shared" ref="T51:AC51" si="15">IFERROR((T21-T20)/T20,0)</f>
        <v>7.0838252656433799E-3</v>
      </c>
      <c r="U51" s="9">
        <f t="shared" si="15"/>
        <v>5.9952038369304557E-3</v>
      </c>
      <c r="V51" s="9">
        <f t="shared" si="15"/>
        <v>2.6300743281875323E-2</v>
      </c>
      <c r="W51" s="9">
        <f t="shared" si="15"/>
        <v>6.1690314620604569E-3</v>
      </c>
      <c r="X51" s="9">
        <f t="shared" si="15"/>
        <v>4.6811000585136511E-3</v>
      </c>
      <c r="Y51" s="9">
        <f t="shared" si="15"/>
        <v>1.2722646310433655E-3</v>
      </c>
      <c r="Z51" s="9">
        <f t="shared" si="15"/>
        <v>3.0469226081657527E-3</v>
      </c>
      <c r="AA51" s="9">
        <f t="shared" si="15"/>
        <v>1.5615615615615582E-2</v>
      </c>
      <c r="AB51" s="9">
        <f t="shared" si="15"/>
        <v>3.5460992907802766E-3</v>
      </c>
      <c r="AC51" s="9">
        <f t="shared" si="15"/>
        <v>5.4945054945053553E-3</v>
      </c>
    </row>
    <row r="52" spans="1:29" x14ac:dyDescent="0.35">
      <c r="A52" s="15" t="s">
        <v>30</v>
      </c>
      <c r="B52" s="15">
        <v>2022</v>
      </c>
      <c r="C52" s="15" t="s">
        <v>41</v>
      </c>
      <c r="D52" s="9">
        <f t="shared" si="1"/>
        <v>1.7576898932831028E-2</v>
      </c>
      <c r="E52" s="9">
        <f t="shared" si="1"/>
        <v>-2.8558268079226113E-2</v>
      </c>
      <c r="F52" s="9">
        <f t="shared" si="1"/>
        <v>-3.3975084937712348E-2</v>
      </c>
      <c r="G52" s="9">
        <f t="shared" si="1"/>
        <v>7.7797725912627852E-3</v>
      </c>
      <c r="H52" s="9">
        <f t="shared" si="1"/>
        <v>-1.2445887445887507E-2</v>
      </c>
      <c r="I52" s="9">
        <f t="shared" si="1"/>
        <v>-1.3370473537604488E-2</v>
      </c>
      <c r="J52" s="9">
        <f t="shared" si="1"/>
        <v>2.206235011990405E-2</v>
      </c>
      <c r="K52" s="9">
        <f t="shared" si="1"/>
        <v>2.0121951219512265E-2</v>
      </c>
      <c r="L52" s="9">
        <f t="shared" si="1"/>
        <v>5.7613168724280073E-3</v>
      </c>
      <c r="M52" s="9">
        <f t="shared" si="1"/>
        <v>1.8250134192163054E-2</v>
      </c>
      <c r="N52" s="9">
        <f t="shared" si="1"/>
        <v>4.3804755944930451E-3</v>
      </c>
      <c r="O52" s="9">
        <f t="shared" si="1"/>
        <v>6.3931806073522493E-3</v>
      </c>
      <c r="P52" s="9">
        <f t="shared" si="1"/>
        <v>5.5741360089186171E-3</v>
      </c>
      <c r="Q52" s="9">
        <f t="shared" si="1"/>
        <v>5.0352467270893412E-4</v>
      </c>
      <c r="R52" s="9">
        <f t="shared" si="1"/>
        <v>5.7903879559930522E-3</v>
      </c>
      <c r="S52" s="9">
        <f t="shared" si="1"/>
        <v>8.1915563957152583E-3</v>
      </c>
      <c r="T52" s="9">
        <f t="shared" ref="T52:AC52" si="16">IFERROR((T22-T21)/T21,0)</f>
        <v>5.8616647127784291E-3</v>
      </c>
      <c r="U52" s="9">
        <f t="shared" si="16"/>
        <v>7.1513706793801465E-3</v>
      </c>
      <c r="V52" s="9">
        <f t="shared" si="16"/>
        <v>-6.1281337047353448E-3</v>
      </c>
      <c r="W52" s="9">
        <f t="shared" si="16"/>
        <v>6.7443286327406151E-3</v>
      </c>
      <c r="X52" s="9">
        <f t="shared" si="16"/>
        <v>5.2417006406523343E-3</v>
      </c>
      <c r="Y52" s="9">
        <f t="shared" si="16"/>
        <v>1.9059720457432208E-3</v>
      </c>
      <c r="Z52" s="9">
        <f t="shared" si="16"/>
        <v>3.0376670716889429E-3</v>
      </c>
      <c r="AA52" s="9">
        <f t="shared" si="16"/>
        <v>4.730928444707341E-3</v>
      </c>
      <c r="AB52" s="9">
        <f t="shared" si="16"/>
        <v>9.4228504122496719E-3</v>
      </c>
      <c r="AC52" s="9">
        <f t="shared" si="16"/>
        <v>4.2501517911355015E-3</v>
      </c>
    </row>
    <row r="53" spans="1:29" x14ac:dyDescent="0.35">
      <c r="A53" s="15" t="s">
        <v>30</v>
      </c>
      <c r="B53" s="15">
        <v>2022</v>
      </c>
      <c r="C53" s="15" t="s">
        <v>42</v>
      </c>
      <c r="D53" s="9">
        <f t="shared" si="1"/>
        <v>1.7273288093769348E-2</v>
      </c>
      <c r="E53" s="9">
        <f t="shared" si="1"/>
        <v>1.3276434329065827E-2</v>
      </c>
      <c r="F53" s="9">
        <f t="shared" si="1"/>
        <v>1.7584994138335954E-3</v>
      </c>
      <c r="G53" s="9">
        <f t="shared" si="1"/>
        <v>1.0095011876484494E-2</v>
      </c>
      <c r="H53" s="9">
        <f t="shared" si="1"/>
        <v>-1.7534246575342402E-2</v>
      </c>
      <c r="I53" s="9">
        <f t="shared" si="1"/>
        <v>-5.4206662902315045E-2</v>
      </c>
      <c r="J53" s="9">
        <f t="shared" si="1"/>
        <v>3.6133270764899188E-2</v>
      </c>
      <c r="K53" s="9">
        <f t="shared" si="1"/>
        <v>1.1356843992827119E-2</v>
      </c>
      <c r="L53" s="9">
        <f t="shared" si="1"/>
        <v>7.3649754500817628E-3</v>
      </c>
      <c r="M53" s="9">
        <f t="shared" si="1"/>
        <v>2.0558777016341623E-2</v>
      </c>
      <c r="N53" s="9">
        <f t="shared" si="1"/>
        <v>3.7383177570093104E-3</v>
      </c>
      <c r="O53" s="9">
        <f t="shared" si="1"/>
        <v>7.9407093700370572E-3</v>
      </c>
      <c r="P53" s="9">
        <f t="shared" si="1"/>
        <v>7.7605321507760849E-3</v>
      </c>
      <c r="Q53" s="9">
        <f t="shared" si="1"/>
        <v>5.0327126321087065E-3</v>
      </c>
      <c r="R53" s="9">
        <f t="shared" si="1"/>
        <v>7.4841681059298303E-3</v>
      </c>
      <c r="S53" s="9">
        <f t="shared" ref="S53:AC53" si="17">IFERROR((S23-S22)/S22,0)</f>
        <v>1.062499999999993E-2</v>
      </c>
      <c r="T53" s="9">
        <f t="shared" si="17"/>
        <v>8.1585081585081928E-3</v>
      </c>
      <c r="U53" s="9">
        <f t="shared" si="17"/>
        <v>2.9585798816568047E-3</v>
      </c>
      <c r="V53" s="9">
        <f t="shared" si="17"/>
        <v>4.4843049327353305E-3</v>
      </c>
      <c r="W53" s="9">
        <f t="shared" si="17"/>
        <v>4.8721071863581699E-3</v>
      </c>
      <c r="X53" s="9">
        <f t="shared" si="17"/>
        <v>6.952491309385962E-3</v>
      </c>
      <c r="Y53" s="9">
        <f t="shared" si="17"/>
        <v>3.1705770450221942E-3</v>
      </c>
      <c r="Z53" s="9">
        <f t="shared" si="17"/>
        <v>4.2398546335555244E-3</v>
      </c>
      <c r="AA53" s="9">
        <f t="shared" si="17"/>
        <v>5.885815185403178E-3</v>
      </c>
      <c r="AB53" s="9">
        <f t="shared" si="17"/>
        <v>-1.7502917152859472E-3</v>
      </c>
      <c r="AC53" s="9">
        <f t="shared" si="17"/>
        <v>4.2321644498185523E-3</v>
      </c>
    </row>
    <row r="54" spans="1:29" x14ac:dyDescent="0.35">
      <c r="A54" s="15" t="s">
        <v>30</v>
      </c>
      <c r="B54" s="15">
        <v>2022</v>
      </c>
      <c r="C54" s="15" t="s">
        <v>43</v>
      </c>
      <c r="D54" s="9">
        <f t="shared" ref="D54:AC61" si="18">IFERROR((D24-D23)/D23,0)</f>
        <v>9.0964220739842318E-3</v>
      </c>
      <c r="E54" s="9">
        <f t="shared" si="18"/>
        <v>5.6153486195602113E-3</v>
      </c>
      <c r="F54" s="9">
        <f t="shared" si="18"/>
        <v>5.8513750731421883E-3</v>
      </c>
      <c r="G54" s="9">
        <f t="shared" si="18"/>
        <v>5.2910052910053245E-3</v>
      </c>
      <c r="H54" s="9">
        <f t="shared" si="18"/>
        <v>-8.9235917456777607E-3</v>
      </c>
      <c r="I54" s="9">
        <f t="shared" si="18"/>
        <v>-1.0746268656716487E-2</v>
      </c>
      <c r="J54" s="9">
        <f t="shared" si="18"/>
        <v>3.532608695652166E-2</v>
      </c>
      <c r="K54" s="9">
        <f t="shared" si="18"/>
        <v>4.1371158392436002E-3</v>
      </c>
      <c r="L54" s="9">
        <f t="shared" si="18"/>
        <v>2.4370430544273874E-3</v>
      </c>
      <c r="M54" s="9">
        <f t="shared" si="18"/>
        <v>1.4462809917355431E-2</v>
      </c>
      <c r="N54" s="9">
        <f t="shared" si="18"/>
        <v>3.1036623215394167E-3</v>
      </c>
      <c r="O54" s="9">
        <f t="shared" si="18"/>
        <v>5.7773109243697178E-3</v>
      </c>
      <c r="P54" s="9">
        <f t="shared" si="18"/>
        <v>8.2508250825082501E-3</v>
      </c>
      <c r="Q54" s="9">
        <f t="shared" si="18"/>
        <v>2.0030045067601686E-3</v>
      </c>
      <c r="R54" s="9">
        <f t="shared" si="18"/>
        <v>2.8571428571428571E-3</v>
      </c>
      <c r="S54" s="9">
        <f t="shared" si="18"/>
        <v>5.565862708719887E-3</v>
      </c>
      <c r="T54" s="9">
        <f t="shared" si="18"/>
        <v>3.4682080924855162E-3</v>
      </c>
      <c r="U54" s="9">
        <f t="shared" si="18"/>
        <v>1.0029498525073679E-2</v>
      </c>
      <c r="V54" s="9">
        <f t="shared" si="18"/>
        <v>4.4642857142857782E-3</v>
      </c>
      <c r="W54" s="9">
        <f t="shared" si="18"/>
        <v>6.0606060606060606E-3</v>
      </c>
      <c r="X54" s="9">
        <f t="shared" si="18"/>
        <v>5.1783659378594775E-3</v>
      </c>
      <c r="Y54" s="9">
        <f t="shared" si="18"/>
        <v>3.7926675094818126E-3</v>
      </c>
      <c r="Z54" s="9">
        <f t="shared" si="18"/>
        <v>3.0156815440289505E-3</v>
      </c>
      <c r="AA54" s="9">
        <f t="shared" si="18"/>
        <v>1.7554125219425567E-3</v>
      </c>
      <c r="AB54" s="9">
        <f t="shared" si="18"/>
        <v>7.0134424313268093E-3</v>
      </c>
      <c r="AC54" s="9">
        <f t="shared" si="18"/>
        <v>4.2143287176400791E-3</v>
      </c>
    </row>
    <row r="55" spans="1:29" x14ac:dyDescent="0.35">
      <c r="A55" s="15" t="s">
        <v>30</v>
      </c>
      <c r="B55" s="15">
        <v>2022</v>
      </c>
      <c r="C55" s="15" t="s">
        <v>45</v>
      </c>
      <c r="D55" s="9">
        <f t="shared" si="18"/>
        <v>1.2019230769230768E-2</v>
      </c>
      <c r="E55" s="9">
        <f t="shared" si="18"/>
        <v>-6.9799906933457421E-3</v>
      </c>
      <c r="F55" s="9">
        <f t="shared" si="18"/>
        <v>6.5735892961023751E-2</v>
      </c>
      <c r="G55" s="9">
        <f t="shared" si="18"/>
        <v>7.6023391812866164E-3</v>
      </c>
      <c r="H55" s="9">
        <f t="shared" si="18"/>
        <v>1.2943162633652288E-2</v>
      </c>
      <c r="I55" s="9">
        <f t="shared" si="18"/>
        <v>-1.8708509354254645E-2</v>
      </c>
      <c r="J55" s="9">
        <f t="shared" si="18"/>
        <v>-0.10104986876640418</v>
      </c>
      <c r="K55" s="9">
        <f t="shared" si="18"/>
        <v>6.4743967039434629E-3</v>
      </c>
      <c r="L55" s="9">
        <f t="shared" si="18"/>
        <v>0</v>
      </c>
      <c r="M55" s="9">
        <f t="shared" si="18"/>
        <v>1.2219959266802473E-2</v>
      </c>
      <c r="N55" s="9">
        <f t="shared" si="18"/>
        <v>3.0940594059405942E-3</v>
      </c>
      <c r="O55" s="9">
        <f t="shared" si="18"/>
        <v>4.6997389033942858E-3</v>
      </c>
      <c r="P55" s="9">
        <f t="shared" si="18"/>
        <v>-1.0911074740861974E-2</v>
      </c>
      <c r="Q55" s="9">
        <f t="shared" si="18"/>
        <v>2.4987506246876563E-3</v>
      </c>
      <c r="R55" s="9">
        <f t="shared" si="18"/>
        <v>6.8376068376067725E-3</v>
      </c>
      <c r="S55" s="9">
        <f t="shared" si="18"/>
        <v>5.5350553505535407E-3</v>
      </c>
      <c r="T55" s="9">
        <f t="shared" si="18"/>
        <v>6.3364055299538844E-3</v>
      </c>
      <c r="U55" s="9">
        <f t="shared" si="18"/>
        <v>3.5046728971963948E-3</v>
      </c>
      <c r="V55" s="9">
        <f t="shared" si="18"/>
        <v>1.6666666666667299E-3</v>
      </c>
      <c r="W55" s="9">
        <f t="shared" si="18"/>
        <v>5.4216867469879864E-3</v>
      </c>
      <c r="X55" s="9">
        <f t="shared" si="18"/>
        <v>6.2965082999428892E-3</v>
      </c>
      <c r="Y55" s="9">
        <f t="shared" si="18"/>
        <v>6.2972292191432189E-4</v>
      </c>
      <c r="Z55" s="9">
        <f t="shared" si="18"/>
        <v>2.4052916416114085E-3</v>
      </c>
      <c r="AA55" s="9">
        <f t="shared" si="18"/>
        <v>1.7523364485981974E-3</v>
      </c>
      <c r="AB55" s="9">
        <f t="shared" si="18"/>
        <v>8.7057457922228663E-3</v>
      </c>
      <c r="AC55" s="9">
        <f t="shared" si="18"/>
        <v>3.5971223021582389E-3</v>
      </c>
    </row>
    <row r="56" spans="1:29" x14ac:dyDescent="0.35">
      <c r="A56" s="15" t="s">
        <v>30</v>
      </c>
      <c r="B56" s="15">
        <v>2022</v>
      </c>
      <c r="C56" s="15" t="s">
        <v>46</v>
      </c>
      <c r="D56" s="9">
        <f t="shared" si="18"/>
        <v>1.0688836104512963E-2</v>
      </c>
      <c r="E56" s="9">
        <f t="shared" si="18"/>
        <v>-2.3430178069353325E-3</v>
      </c>
      <c r="F56" s="9">
        <f t="shared" si="18"/>
        <v>4.7489082969432411E-2</v>
      </c>
      <c r="G56" s="9">
        <f t="shared" si="18"/>
        <v>9.286128845037692E-3</v>
      </c>
      <c r="H56" s="9">
        <f t="shared" si="18"/>
        <v>-5.0000000000000313E-3</v>
      </c>
      <c r="I56" s="9">
        <f t="shared" si="18"/>
        <v>-1.9065190651906486E-2</v>
      </c>
      <c r="J56" s="9">
        <f t="shared" si="18"/>
        <v>-0.1304136253041363</v>
      </c>
      <c r="K56" s="9">
        <f t="shared" si="18"/>
        <v>1.7543859649123471E-3</v>
      </c>
      <c r="L56" s="9">
        <f t="shared" si="18"/>
        <v>-2.4311183144247275E-3</v>
      </c>
      <c r="M56" s="9">
        <f t="shared" si="18"/>
        <v>8.5513078470824365E-3</v>
      </c>
      <c r="N56" s="9">
        <f t="shared" si="18"/>
        <v>4.3183220234424245E-3</v>
      </c>
      <c r="O56" s="9">
        <f t="shared" si="18"/>
        <v>4.6777546777547075E-3</v>
      </c>
      <c r="P56" s="9">
        <f t="shared" si="18"/>
        <v>-1.4892443463872128E-2</v>
      </c>
      <c r="Q56" s="9">
        <f t="shared" si="18"/>
        <v>2.4925224327018943E-3</v>
      </c>
      <c r="R56" s="9">
        <f t="shared" si="18"/>
        <v>5.6593095642331641E-3</v>
      </c>
      <c r="S56" s="9">
        <f t="shared" si="18"/>
        <v>6.1162079510703364E-3</v>
      </c>
      <c r="T56" s="9">
        <f t="shared" si="18"/>
        <v>5.7240984544934172E-3</v>
      </c>
      <c r="U56" s="9">
        <f t="shared" si="18"/>
        <v>-6.4027939464494921E-3</v>
      </c>
      <c r="V56" s="9">
        <f t="shared" si="18"/>
        <v>1.6638935108152131E-3</v>
      </c>
      <c r="W56" s="9">
        <f t="shared" si="18"/>
        <v>2.3966446974236408E-3</v>
      </c>
      <c r="X56" s="9">
        <f t="shared" si="18"/>
        <v>7.9635949943115888E-3</v>
      </c>
      <c r="Y56" s="9">
        <f t="shared" si="18"/>
        <v>3.1466331025802388E-3</v>
      </c>
      <c r="Z56" s="9">
        <f t="shared" si="18"/>
        <v>2.3995200959808379E-3</v>
      </c>
      <c r="AA56" s="9">
        <f t="shared" si="18"/>
        <v>1.7492711370263054E-3</v>
      </c>
      <c r="AB56" s="9">
        <f t="shared" si="18"/>
        <v>1.26582278481012E-2</v>
      </c>
      <c r="AC56" s="9">
        <f t="shared" si="18"/>
        <v>4.778972520907903E-3</v>
      </c>
    </row>
    <row r="57" spans="1:29" x14ac:dyDescent="0.35">
      <c r="A57" s="15" t="s">
        <v>30</v>
      </c>
      <c r="B57" s="15">
        <v>2023</v>
      </c>
      <c r="C57" s="15" t="s">
        <v>31</v>
      </c>
      <c r="D57" s="9">
        <f t="shared" si="18"/>
        <v>1.821386603995313E-2</v>
      </c>
      <c r="E57" s="9">
        <f t="shared" si="18"/>
        <v>1.0803193987787613E-2</v>
      </c>
      <c r="F57" s="9">
        <f t="shared" si="18"/>
        <v>2.6576341844710756E-2</v>
      </c>
      <c r="G57" s="9">
        <f t="shared" si="18"/>
        <v>7.4755606670499301E-3</v>
      </c>
      <c r="H57" s="9">
        <f t="shared" si="18"/>
        <v>-6.1418202121719398E-3</v>
      </c>
      <c r="I57" s="9">
        <f t="shared" si="18"/>
        <v>6.269592476489028E-3</v>
      </c>
      <c r="J57" s="9">
        <f t="shared" si="18"/>
        <v>-1.9026301063234344E-2</v>
      </c>
      <c r="K57" s="9">
        <f t="shared" si="18"/>
        <v>-5.837711617047445E-4</v>
      </c>
      <c r="L57" s="9">
        <f t="shared" si="18"/>
        <v>-3.2493907392363241E-3</v>
      </c>
      <c r="M57" s="9">
        <f t="shared" si="18"/>
        <v>1.8952618453865394E-2</v>
      </c>
      <c r="N57" s="9">
        <f t="shared" si="18"/>
        <v>5.5282555282553884E-3</v>
      </c>
      <c r="O57" s="9">
        <f t="shared" si="18"/>
        <v>5.1733057423693739E-3</v>
      </c>
      <c r="P57" s="9">
        <f t="shared" si="18"/>
        <v>5.0391937290033915E-3</v>
      </c>
      <c r="Q57" s="9">
        <f t="shared" si="18"/>
        <v>2.4863252113376429E-3</v>
      </c>
      <c r="R57" s="9">
        <f t="shared" si="18"/>
        <v>5.6274620146314017E-3</v>
      </c>
      <c r="S57" s="9">
        <f t="shared" si="18"/>
        <v>4.8632218844985491E-3</v>
      </c>
      <c r="T57" s="9">
        <f t="shared" si="18"/>
        <v>5.1223676721685015E-3</v>
      </c>
      <c r="U57" s="9">
        <f t="shared" si="18"/>
        <v>8.201523140011751E-3</v>
      </c>
      <c r="V57" s="9">
        <f t="shared" si="18"/>
        <v>-2.7685492801771874E-3</v>
      </c>
      <c r="W57" s="9">
        <f t="shared" si="18"/>
        <v>4.1841004184099738E-3</v>
      </c>
      <c r="X57" s="9">
        <f t="shared" si="18"/>
        <v>7.3363431151242178E-3</v>
      </c>
      <c r="Y57" s="9">
        <f t="shared" si="18"/>
        <v>6.2735257214551008E-4</v>
      </c>
      <c r="Z57" s="9">
        <f t="shared" si="18"/>
        <v>4.1891083183723341E-3</v>
      </c>
      <c r="AA57" s="9">
        <f t="shared" si="18"/>
        <v>0</v>
      </c>
      <c r="AB57" s="9">
        <f t="shared" si="18"/>
        <v>1.5909090909090973E-2</v>
      </c>
      <c r="AC57" s="9">
        <f t="shared" si="18"/>
        <v>4.1617122473247151E-3</v>
      </c>
    </row>
    <row r="58" spans="1:29" x14ac:dyDescent="0.35">
      <c r="A58" s="15" t="s">
        <v>30</v>
      </c>
      <c r="B58" s="15">
        <v>2023</v>
      </c>
      <c r="C58" s="15" t="s">
        <v>35</v>
      </c>
      <c r="D58" s="9">
        <f t="shared" si="18"/>
        <v>8.078476630121045E-3</v>
      </c>
      <c r="E58" s="9">
        <f t="shared" si="18"/>
        <v>-1.3940520446096656E-2</v>
      </c>
      <c r="F58" s="9">
        <f t="shared" si="18"/>
        <v>-0.10050761421319802</v>
      </c>
      <c r="G58" s="9">
        <f t="shared" si="18"/>
        <v>1.5410958904109687E-2</v>
      </c>
      <c r="H58" s="9">
        <f t="shared" si="18"/>
        <v>-3.2584269662921411E-2</v>
      </c>
      <c r="I58" s="9">
        <f t="shared" si="18"/>
        <v>7.2274143302180655E-2</v>
      </c>
      <c r="J58" s="9">
        <f t="shared" si="18"/>
        <v>2.8522532800912721E-3</v>
      </c>
      <c r="K58" s="9">
        <f t="shared" si="18"/>
        <v>5.8411214953271035E-3</v>
      </c>
      <c r="L58" s="9">
        <f t="shared" si="18"/>
        <v>-6.5199674001629754E-3</v>
      </c>
      <c r="M58" s="9">
        <f t="shared" si="18"/>
        <v>2.4473813020068525E-3</v>
      </c>
      <c r="N58" s="9">
        <f t="shared" si="18"/>
        <v>7.3304825901039528E-3</v>
      </c>
      <c r="O58" s="9">
        <f t="shared" si="18"/>
        <v>1.1837364899639644E-2</v>
      </c>
      <c r="P58" s="9">
        <f t="shared" si="18"/>
        <v>6.6852367688021649E-3</v>
      </c>
      <c r="Q58" s="9">
        <f t="shared" si="18"/>
        <v>5.4563492063491783E-3</v>
      </c>
      <c r="R58" s="9">
        <f t="shared" si="18"/>
        <v>8.9535534415222315E-3</v>
      </c>
      <c r="S58" s="9">
        <f t="shared" si="18"/>
        <v>1.0284331518451231E-2</v>
      </c>
      <c r="T58" s="9">
        <f t="shared" si="18"/>
        <v>9.0600226500565928E-3</v>
      </c>
      <c r="U58" s="9">
        <f t="shared" si="18"/>
        <v>8.1348053457292614E-3</v>
      </c>
      <c r="V58" s="9">
        <f t="shared" si="18"/>
        <v>1.4991671293725804E-2</v>
      </c>
      <c r="W58" s="9">
        <f t="shared" si="18"/>
        <v>7.142857142857075E-3</v>
      </c>
      <c r="X58" s="9">
        <f t="shared" si="18"/>
        <v>1.2885154061624713E-2</v>
      </c>
      <c r="Y58" s="9">
        <f t="shared" si="18"/>
        <v>1.8808777429467798E-3</v>
      </c>
      <c r="Z58" s="9">
        <f t="shared" si="18"/>
        <v>3.5756853396900733E-3</v>
      </c>
      <c r="AA58" s="9">
        <f t="shared" si="18"/>
        <v>4.0745052386495263E-3</v>
      </c>
      <c r="AB58" s="9">
        <f t="shared" si="18"/>
        <v>1.4541387024608469E-2</v>
      </c>
      <c r="AC58" s="9">
        <f t="shared" si="18"/>
        <v>6.5127294256956438E-3</v>
      </c>
    </row>
    <row r="59" spans="1:29" x14ac:dyDescent="0.35">
      <c r="A59" s="15" t="s">
        <v>30</v>
      </c>
      <c r="B59" s="15">
        <v>2023</v>
      </c>
      <c r="C59" s="15" t="s">
        <v>36</v>
      </c>
      <c r="D59" s="9">
        <f t="shared" si="18"/>
        <v>0</v>
      </c>
      <c r="E59" s="9">
        <f t="shared" si="18"/>
        <v>0</v>
      </c>
      <c r="F59" s="9">
        <f t="shared" si="18"/>
        <v>0</v>
      </c>
      <c r="G59" s="9">
        <f t="shared" si="18"/>
        <v>0</v>
      </c>
      <c r="H59" s="9">
        <f t="shared" si="18"/>
        <v>0</v>
      </c>
      <c r="I59" s="9">
        <f t="shared" si="18"/>
        <v>0</v>
      </c>
      <c r="J59" s="9">
        <f t="shared" si="18"/>
        <v>5.6882821387937608E-4</v>
      </c>
      <c r="K59" s="9">
        <f t="shared" si="18"/>
        <v>0</v>
      </c>
      <c r="L59" s="9">
        <f t="shared" si="18"/>
        <v>0</v>
      </c>
      <c r="M59" s="9">
        <f t="shared" si="18"/>
        <v>0</v>
      </c>
      <c r="N59" s="9">
        <f t="shared" si="18"/>
        <v>0</v>
      </c>
      <c r="O59" s="9">
        <f t="shared" si="18"/>
        <v>0</v>
      </c>
      <c r="P59" s="9">
        <f t="shared" si="18"/>
        <v>5.5340343110139867E-4</v>
      </c>
      <c r="Q59" s="9">
        <f t="shared" si="18"/>
        <v>0</v>
      </c>
      <c r="R59" s="9">
        <f t="shared" si="18"/>
        <v>-5.5463117027189531E-4</v>
      </c>
      <c r="S59" s="9">
        <f t="shared" si="18"/>
        <v>0</v>
      </c>
      <c r="T59" s="9">
        <f t="shared" si="18"/>
        <v>0</v>
      </c>
      <c r="U59" s="9">
        <f t="shared" si="18"/>
        <v>0</v>
      </c>
      <c r="V59" s="9">
        <f t="shared" si="18"/>
        <v>-1.0940919037200057E-3</v>
      </c>
      <c r="W59" s="9">
        <f t="shared" si="18"/>
        <v>0</v>
      </c>
      <c r="X59" s="9">
        <f t="shared" si="18"/>
        <v>0</v>
      </c>
      <c r="Y59" s="9">
        <f t="shared" si="18"/>
        <v>0</v>
      </c>
      <c r="Z59" s="9">
        <f t="shared" si="18"/>
        <v>0</v>
      </c>
      <c r="AA59" s="9">
        <f t="shared" si="18"/>
        <v>0</v>
      </c>
      <c r="AB59" s="9">
        <f t="shared" si="18"/>
        <v>5.5126791620724541E-4</v>
      </c>
      <c r="AC59" s="9">
        <f t="shared" si="18"/>
        <v>0</v>
      </c>
    </row>
    <row r="60" spans="1:29" x14ac:dyDescent="0.35">
      <c r="A60" s="15" t="s">
        <v>30</v>
      </c>
      <c r="B60" s="15">
        <v>2023</v>
      </c>
      <c r="C60" s="15" t="s">
        <v>37</v>
      </c>
      <c r="D60" s="9">
        <f t="shared" si="18"/>
        <v>5.7240984544947189E-4</v>
      </c>
      <c r="E60" s="9">
        <f t="shared" si="18"/>
        <v>7.068803016022621E-3</v>
      </c>
      <c r="F60" s="9">
        <f t="shared" si="18"/>
        <v>-2.7088036117381396E-2</v>
      </c>
      <c r="G60" s="9">
        <f t="shared" si="18"/>
        <v>5.0590219224283623E-3</v>
      </c>
      <c r="H60" s="9">
        <f t="shared" si="18"/>
        <v>-2.0325203252032523E-2</v>
      </c>
      <c r="I60" s="9">
        <f t="shared" si="18"/>
        <v>4.1255084253341047E-2</v>
      </c>
      <c r="J60" s="9">
        <f t="shared" si="18"/>
        <v>2.2740193291642979E-2</v>
      </c>
      <c r="K60" s="9">
        <f t="shared" si="18"/>
        <v>1.4518002322880372E-2</v>
      </c>
      <c r="L60" s="9">
        <f t="shared" si="18"/>
        <v>9.8441345365052387E-3</v>
      </c>
      <c r="M60" s="9">
        <f t="shared" si="18"/>
        <v>1.46484375E-2</v>
      </c>
      <c r="N60" s="9">
        <f t="shared" si="18"/>
        <v>3.6385688295936585E-3</v>
      </c>
      <c r="O60" s="9">
        <f t="shared" si="18"/>
        <v>2.034587995930853E-3</v>
      </c>
      <c r="P60" s="9">
        <f t="shared" si="18"/>
        <v>7.1902654867255691E-3</v>
      </c>
      <c r="Q60" s="9">
        <f t="shared" si="18"/>
        <v>3.9467192895905846E-3</v>
      </c>
      <c r="R60" s="9">
        <f t="shared" si="18"/>
        <v>4.4395116537181544E-3</v>
      </c>
      <c r="S60" s="9">
        <f t="shared" si="18"/>
        <v>4.1916167664669979E-3</v>
      </c>
      <c r="T60" s="9">
        <f t="shared" si="18"/>
        <v>3.9281705948373572E-3</v>
      </c>
      <c r="U60" s="9">
        <f t="shared" si="18"/>
        <v>9.7982708933716921E-3</v>
      </c>
      <c r="V60" s="9">
        <f t="shared" si="18"/>
        <v>-2.7382256297918948E-3</v>
      </c>
      <c r="W60" s="9">
        <f t="shared" si="18"/>
        <v>2.3640661938534617E-3</v>
      </c>
      <c r="X60" s="9">
        <f t="shared" si="18"/>
        <v>3.8716814159291406E-3</v>
      </c>
      <c r="Y60" s="9">
        <f t="shared" si="18"/>
        <v>1.877346683354086E-3</v>
      </c>
      <c r="Z60" s="9">
        <f t="shared" si="18"/>
        <v>2.3752969121140478E-3</v>
      </c>
      <c r="AA60" s="9">
        <f t="shared" si="18"/>
        <v>9.8550724637680494E-3</v>
      </c>
      <c r="AB60" s="9">
        <f t="shared" si="18"/>
        <v>1.5977961432506918E-2</v>
      </c>
      <c r="AC60" s="9">
        <f t="shared" si="18"/>
        <v>5.2941176470588571E-3</v>
      </c>
    </row>
    <row r="61" spans="1:29" x14ac:dyDescent="0.35">
      <c r="A61" s="15" t="s">
        <v>30</v>
      </c>
      <c r="B61" s="15">
        <v>2023</v>
      </c>
      <c r="C61" s="15" t="s">
        <v>38</v>
      </c>
      <c r="D61" s="9">
        <f t="shared" si="18"/>
        <v>-5.7208237986283023E-4</v>
      </c>
      <c r="E61" s="9">
        <f t="shared" si="18"/>
        <v>2.6672905942910705E-2</v>
      </c>
      <c r="F61" s="9">
        <f t="shared" si="18"/>
        <v>2.4941995359628672E-2</v>
      </c>
      <c r="G61" s="9">
        <f t="shared" si="18"/>
        <v>3.355704697986545E-3</v>
      </c>
      <c r="H61" s="9">
        <f t="shared" si="18"/>
        <v>-2.5489033787788874E-2</v>
      </c>
      <c r="I61" s="9">
        <f t="shared" si="18"/>
        <v>-1.8973214285714159E-2</v>
      </c>
      <c r="J61" s="9">
        <f t="shared" si="18"/>
        <v>2.8349082823790964E-2</v>
      </c>
      <c r="K61" s="9">
        <f t="shared" si="18"/>
        <v>1.2593016599885617E-2</v>
      </c>
      <c r="L61" s="9">
        <f t="shared" si="18"/>
        <v>8.9358245329001513E-3</v>
      </c>
      <c r="M61" s="9">
        <f t="shared" si="18"/>
        <v>1.9730510105871003E-2</v>
      </c>
      <c r="N61" s="9">
        <f t="shared" si="18"/>
        <v>2.4169184290030554E-3</v>
      </c>
      <c r="O61" s="9">
        <f t="shared" si="18"/>
        <v>3.5532994923857292E-3</v>
      </c>
      <c r="P61" s="9">
        <f t="shared" si="18"/>
        <v>5.4914881933003845E-3</v>
      </c>
      <c r="Q61" s="9">
        <f t="shared" si="18"/>
        <v>3.4398034398033838E-3</v>
      </c>
      <c r="R61" s="9">
        <f t="shared" si="18"/>
        <v>1.6574585635359745E-3</v>
      </c>
      <c r="S61" s="9">
        <f t="shared" si="18"/>
        <v>2.3852116875373031E-3</v>
      </c>
      <c r="T61" s="9">
        <f t="shared" si="18"/>
        <v>2.2358859698155711E-3</v>
      </c>
      <c r="U61" s="9">
        <f t="shared" si="18"/>
        <v>2.2831050228310826E-3</v>
      </c>
      <c r="V61" s="9">
        <f t="shared" si="18"/>
        <v>7.1389346512905627E-3</v>
      </c>
      <c r="W61" s="9">
        <f t="shared" si="18"/>
        <v>2.94811320754717E-3</v>
      </c>
      <c r="X61" s="9">
        <f t="shared" si="18"/>
        <v>3.8567493112947032E-3</v>
      </c>
      <c r="Y61" s="9">
        <f t="shared" si="18"/>
        <v>1.8738288569644683E-3</v>
      </c>
      <c r="Z61" s="9">
        <f t="shared" si="18"/>
        <v>2.3696682464453629E-3</v>
      </c>
      <c r="AA61" s="9">
        <f t="shared" si="18"/>
        <v>3.4443168771528289E-3</v>
      </c>
      <c r="AB61" s="9">
        <f t="shared" si="18"/>
        <v>6.5075921908893091E-3</v>
      </c>
      <c r="AC61" s="9">
        <f t="shared" si="18"/>
        <v>4.0959625511994653E-3</v>
      </c>
    </row>
  </sheetData>
  <mergeCells count="1">
    <mergeCell ref="A34:AC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7D24-D202-4E51-90E1-06DC8078B442}">
  <dimension ref="A2:AC60"/>
  <sheetViews>
    <sheetView topLeftCell="P1" workbookViewId="0">
      <selection activeCell="U4" sqref="U4"/>
    </sheetView>
  </sheetViews>
  <sheetFormatPr defaultRowHeight="14.5" x14ac:dyDescent="0.35"/>
  <cols>
    <col min="1" max="1" width="11.36328125" bestFit="1" customWidth="1"/>
    <col min="2" max="2" width="12.26953125" bestFit="1" customWidth="1"/>
    <col min="3" max="3" width="9.90625" bestFit="1" customWidth="1"/>
    <col min="4" max="4" width="18.54296875" bestFit="1" customWidth="1"/>
    <col min="5" max="5" width="12.26953125" bestFit="1" customWidth="1"/>
    <col min="6" max="6" width="6.453125" bestFit="1" customWidth="1"/>
    <col min="7" max="7" width="15.90625" bestFit="1" customWidth="1"/>
    <col min="8" max="8" width="11.08984375" bestFit="1" customWidth="1"/>
    <col min="9" max="9" width="6.453125" bestFit="1" customWidth="1"/>
    <col min="10" max="10" width="9.81640625" bestFit="1" customWidth="1"/>
    <col min="11" max="11" width="17.6328125" bestFit="1" customWidth="1"/>
    <col min="12" max="12" width="21.453125" bestFit="1" customWidth="1"/>
    <col min="13" max="13" width="6.453125" bestFit="1" customWidth="1"/>
    <col min="14" max="14" width="21.36328125" bestFit="1" customWidth="1"/>
    <col min="15" max="15" width="31.1796875" bestFit="1" customWidth="1"/>
    <col min="16" max="16" width="17.7265625" bestFit="1" customWidth="1"/>
    <col min="17" max="17" width="25.26953125" bestFit="1" customWidth="1"/>
    <col min="18" max="18" width="7.6328125" bestFit="1" customWidth="1"/>
    <col min="20" max="20" width="19.54296875" bestFit="1" customWidth="1"/>
    <col min="21" max="21" width="7.54296875" bestFit="1" customWidth="1"/>
    <col min="22" max="22" width="11.90625" bestFit="1" customWidth="1"/>
    <col min="23" max="23" width="26.26953125" bestFit="1" customWidth="1"/>
    <col min="24" max="24" width="6.26953125" bestFit="1" customWidth="1"/>
    <col min="25" max="25" width="26.36328125" bestFit="1" customWidth="1"/>
    <col min="26" max="26" width="24" bestFit="1" customWidth="1"/>
    <col min="27" max="27" width="9.08984375" bestFit="1" customWidth="1"/>
    <col min="28" max="28" width="21.90625" bestFit="1" customWidth="1"/>
    <col min="29" max="29" width="12.6328125" bestFit="1" customWidth="1"/>
  </cols>
  <sheetData>
    <row r="2" spans="1:29" x14ac:dyDescent="0.35">
      <c r="A2" t="s">
        <v>0</v>
      </c>
      <c r="B2" t="s">
        <v>99</v>
      </c>
    </row>
    <row r="4" spans="1:29" x14ac:dyDescent="0.3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74</v>
      </c>
      <c r="P4" s="5" t="s">
        <v>15</v>
      </c>
      <c r="Q4" s="5" t="s">
        <v>73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</row>
    <row r="5" spans="1:29" x14ac:dyDescent="0.35">
      <c r="A5" s="5" t="s">
        <v>34</v>
      </c>
      <c r="B5" s="5">
        <v>2021</v>
      </c>
      <c r="C5" s="5" t="s">
        <v>37</v>
      </c>
      <c r="D5" s="11">
        <v>144.30000000000001</v>
      </c>
      <c r="E5" s="5">
        <v>198</v>
      </c>
      <c r="F5" s="5">
        <v>164.6</v>
      </c>
      <c r="G5" s="5">
        <v>155.4</v>
      </c>
      <c r="H5" s="5">
        <v>170.1</v>
      </c>
      <c r="I5" s="5">
        <v>164.4</v>
      </c>
      <c r="J5" s="5">
        <v>144.1</v>
      </c>
      <c r="K5" s="5">
        <v>161.69999999999999</v>
      </c>
      <c r="L5" s="5">
        <v>113.1</v>
      </c>
      <c r="M5" s="5">
        <v>163.9</v>
      </c>
      <c r="N5" s="5">
        <v>157.6</v>
      </c>
      <c r="O5" s="5">
        <v>168.9</v>
      </c>
      <c r="P5" s="5">
        <v>158</v>
      </c>
      <c r="Q5" s="5">
        <v>188.8</v>
      </c>
      <c r="R5" s="5">
        <v>158.80000000000001</v>
      </c>
      <c r="S5" s="5">
        <v>148.5</v>
      </c>
      <c r="T5" s="5">
        <v>157.30000000000001</v>
      </c>
      <c r="U5" s="5">
        <v>161.4</v>
      </c>
      <c r="V5" s="5">
        <v>155.6</v>
      </c>
      <c r="W5" s="5">
        <v>151.80000000000001</v>
      </c>
      <c r="X5" s="5">
        <v>162.30000000000001</v>
      </c>
      <c r="Y5" s="5">
        <v>146.6</v>
      </c>
      <c r="Z5" s="5">
        <v>153.19999999999999</v>
      </c>
      <c r="AA5" s="5">
        <v>160.30000000000001</v>
      </c>
      <c r="AB5" s="5">
        <v>155.4</v>
      </c>
      <c r="AC5" s="5">
        <v>154.4</v>
      </c>
    </row>
    <row r="6" spans="1:29" x14ac:dyDescent="0.35">
      <c r="A6" s="5" t="s">
        <v>34</v>
      </c>
      <c r="B6" s="5">
        <v>2021</v>
      </c>
      <c r="C6" s="5" t="s">
        <v>38</v>
      </c>
      <c r="D6" s="11">
        <v>146.30000000000001</v>
      </c>
      <c r="E6" s="5">
        <v>200.5</v>
      </c>
      <c r="F6" s="5">
        <v>170.3</v>
      </c>
      <c r="G6" s="5">
        <v>156.1</v>
      </c>
      <c r="H6" s="5">
        <v>178.7</v>
      </c>
      <c r="I6" s="5">
        <v>167.1</v>
      </c>
      <c r="J6" s="5">
        <v>147.9</v>
      </c>
      <c r="K6" s="5">
        <v>165.4</v>
      </c>
      <c r="L6" s="5">
        <v>114.8</v>
      </c>
      <c r="M6" s="5">
        <v>168.2</v>
      </c>
      <c r="N6" s="5">
        <v>159.30000000000001</v>
      </c>
      <c r="O6" s="5">
        <v>170.4</v>
      </c>
      <c r="P6" s="5">
        <v>160.69999999999999</v>
      </c>
      <c r="Q6" s="5">
        <v>191.9</v>
      </c>
      <c r="R6" s="5">
        <v>161.80000000000001</v>
      </c>
      <c r="S6" s="5">
        <v>152.1</v>
      </c>
      <c r="T6" s="5">
        <v>160.4</v>
      </c>
      <c r="U6" s="5">
        <v>161.6</v>
      </c>
      <c r="V6" s="5">
        <v>159.4</v>
      </c>
      <c r="W6" s="5">
        <v>154.69999999999999</v>
      </c>
      <c r="X6" s="5">
        <v>165.8</v>
      </c>
      <c r="Y6" s="5">
        <v>148.9</v>
      </c>
      <c r="Z6" s="5">
        <v>155.80000000000001</v>
      </c>
      <c r="AA6" s="5">
        <v>161.19999999999999</v>
      </c>
      <c r="AB6" s="5">
        <v>158.6</v>
      </c>
      <c r="AC6" s="5">
        <v>156.80000000000001</v>
      </c>
    </row>
    <row r="7" spans="1:29" x14ac:dyDescent="0.35">
      <c r="A7" s="5" t="s">
        <v>34</v>
      </c>
      <c r="B7" s="5">
        <v>2021</v>
      </c>
      <c r="C7" s="5" t="s">
        <v>39</v>
      </c>
      <c r="D7" s="11">
        <v>146.69999999999999</v>
      </c>
      <c r="E7" s="5">
        <v>202</v>
      </c>
      <c r="F7" s="5">
        <v>180.7</v>
      </c>
      <c r="G7" s="5">
        <v>156.19999999999999</v>
      </c>
      <c r="H7" s="5">
        <v>183.7</v>
      </c>
      <c r="I7" s="5">
        <v>164.6</v>
      </c>
      <c r="J7" s="5">
        <v>155.4</v>
      </c>
      <c r="K7" s="5">
        <v>166</v>
      </c>
      <c r="L7" s="5">
        <v>115.1</v>
      </c>
      <c r="M7" s="5">
        <v>168.5</v>
      </c>
      <c r="N7" s="5">
        <v>160</v>
      </c>
      <c r="O7" s="5">
        <v>172.4</v>
      </c>
      <c r="P7" s="5">
        <v>162.6</v>
      </c>
      <c r="Q7" s="5">
        <v>190.8</v>
      </c>
      <c r="R7" s="5">
        <v>162.19999999999999</v>
      </c>
      <c r="S7" s="5">
        <v>151.80000000000001</v>
      </c>
      <c r="T7" s="5">
        <v>160.69999999999999</v>
      </c>
      <c r="U7" s="5">
        <v>160.5</v>
      </c>
      <c r="V7" s="5">
        <v>159.80000000000001</v>
      </c>
      <c r="W7" s="5">
        <v>154.80000000000001</v>
      </c>
      <c r="X7" s="5">
        <v>166.3</v>
      </c>
      <c r="Y7" s="5">
        <v>150.69999999999999</v>
      </c>
      <c r="Z7" s="5">
        <v>154.9</v>
      </c>
      <c r="AA7" s="5">
        <v>161.69999999999999</v>
      </c>
      <c r="AB7" s="5">
        <v>158.80000000000001</v>
      </c>
      <c r="AC7" s="5">
        <v>157.6</v>
      </c>
    </row>
    <row r="8" spans="1:29" x14ac:dyDescent="0.35">
      <c r="A8" s="5" t="s">
        <v>34</v>
      </c>
      <c r="B8" s="5">
        <v>2021</v>
      </c>
      <c r="C8" s="5" t="s">
        <v>40</v>
      </c>
      <c r="D8" s="11">
        <v>146.4</v>
      </c>
      <c r="E8" s="5">
        <v>206.8</v>
      </c>
      <c r="F8" s="5">
        <v>182.2</v>
      </c>
      <c r="G8" s="5">
        <v>157.5</v>
      </c>
      <c r="H8" s="5">
        <v>182.1</v>
      </c>
      <c r="I8" s="5">
        <v>163.9</v>
      </c>
      <c r="J8" s="5">
        <v>164.2</v>
      </c>
      <c r="K8" s="5">
        <v>164</v>
      </c>
      <c r="L8" s="5">
        <v>114.5</v>
      </c>
      <c r="M8" s="5">
        <v>168.3</v>
      </c>
      <c r="N8" s="5">
        <v>160.9</v>
      </c>
      <c r="O8" s="5">
        <v>172.2</v>
      </c>
      <c r="P8" s="5">
        <v>164</v>
      </c>
      <c r="Q8" s="5">
        <v>191.2</v>
      </c>
      <c r="R8" s="5">
        <v>162.80000000000001</v>
      </c>
      <c r="S8" s="5">
        <v>153.1</v>
      </c>
      <c r="T8" s="5">
        <v>161.4</v>
      </c>
      <c r="U8" s="5">
        <v>161.5</v>
      </c>
      <c r="V8" s="5">
        <v>160.69999999999999</v>
      </c>
      <c r="W8" s="5">
        <v>155.80000000000001</v>
      </c>
      <c r="X8" s="5">
        <v>167</v>
      </c>
      <c r="Y8" s="5">
        <v>153.1</v>
      </c>
      <c r="Z8" s="5">
        <v>155.30000000000001</v>
      </c>
      <c r="AA8" s="5">
        <v>163.19999999999999</v>
      </c>
      <c r="AB8" s="5">
        <v>160.1</v>
      </c>
      <c r="AC8" s="5">
        <v>159</v>
      </c>
    </row>
    <row r="9" spans="1:29" x14ac:dyDescent="0.35">
      <c r="A9" s="5" t="s">
        <v>34</v>
      </c>
      <c r="B9" s="5">
        <v>2021</v>
      </c>
      <c r="C9" s="5" t="s">
        <v>41</v>
      </c>
      <c r="D9" s="11">
        <v>146.6</v>
      </c>
      <c r="E9" s="5">
        <v>204</v>
      </c>
      <c r="F9" s="5">
        <v>172.8</v>
      </c>
      <c r="G9" s="5">
        <v>158.4</v>
      </c>
      <c r="H9" s="5">
        <v>188</v>
      </c>
      <c r="I9" s="5">
        <v>156.80000000000001</v>
      </c>
      <c r="J9" s="5">
        <v>162.19999999999999</v>
      </c>
      <c r="K9" s="5">
        <v>164.1</v>
      </c>
      <c r="L9" s="5">
        <v>119.7</v>
      </c>
      <c r="M9" s="5">
        <v>168.8</v>
      </c>
      <c r="N9" s="5">
        <v>162.69999999999999</v>
      </c>
      <c r="O9" s="5">
        <v>173.9</v>
      </c>
      <c r="P9" s="5">
        <v>164</v>
      </c>
      <c r="Q9" s="5">
        <v>192.1</v>
      </c>
      <c r="R9" s="5">
        <v>164.5</v>
      </c>
      <c r="S9" s="5">
        <v>155.30000000000001</v>
      </c>
      <c r="T9" s="5">
        <v>163.19999999999999</v>
      </c>
      <c r="U9" s="5">
        <v>162.1</v>
      </c>
      <c r="V9" s="5">
        <v>162.6</v>
      </c>
      <c r="W9" s="5">
        <v>157.5</v>
      </c>
      <c r="X9" s="5">
        <v>168.4</v>
      </c>
      <c r="Y9" s="5">
        <v>154</v>
      </c>
      <c r="Z9" s="5">
        <v>157.6</v>
      </c>
      <c r="AA9" s="5">
        <v>163.80000000000001</v>
      </c>
      <c r="AB9" s="5">
        <v>160</v>
      </c>
      <c r="AC9" s="5">
        <v>160</v>
      </c>
    </row>
    <row r="10" spans="1:29" x14ac:dyDescent="0.35">
      <c r="A10" s="5" t="s">
        <v>34</v>
      </c>
      <c r="B10" s="5">
        <v>2021</v>
      </c>
      <c r="C10" s="5" t="s">
        <v>42</v>
      </c>
      <c r="D10" s="11">
        <v>146.6</v>
      </c>
      <c r="E10" s="5">
        <v>204</v>
      </c>
      <c r="F10" s="5">
        <v>172.8</v>
      </c>
      <c r="G10" s="5">
        <v>158.4</v>
      </c>
      <c r="H10" s="5">
        <v>188</v>
      </c>
      <c r="I10" s="5">
        <v>156.69999999999999</v>
      </c>
      <c r="J10" s="5">
        <v>162.30000000000001</v>
      </c>
      <c r="K10" s="5">
        <v>164.1</v>
      </c>
      <c r="L10" s="5">
        <v>119.7</v>
      </c>
      <c r="M10" s="5">
        <v>168.8</v>
      </c>
      <c r="N10" s="5">
        <v>162.69999999999999</v>
      </c>
      <c r="O10" s="5">
        <v>173.9</v>
      </c>
      <c r="P10" s="5">
        <v>164</v>
      </c>
      <c r="Q10" s="5">
        <v>192.1</v>
      </c>
      <c r="R10" s="5">
        <v>164.6</v>
      </c>
      <c r="S10" s="5">
        <v>155.30000000000001</v>
      </c>
      <c r="T10" s="5">
        <v>163.30000000000001</v>
      </c>
      <c r="U10" s="5">
        <v>162.1</v>
      </c>
      <c r="V10" s="5">
        <v>162.6</v>
      </c>
      <c r="W10" s="5">
        <v>157.5</v>
      </c>
      <c r="X10" s="5">
        <v>168.4</v>
      </c>
      <c r="Y10" s="5">
        <v>154</v>
      </c>
      <c r="Z10" s="5">
        <v>157.69999999999999</v>
      </c>
      <c r="AA10" s="5">
        <v>163.69999999999999</v>
      </c>
      <c r="AB10" s="5">
        <v>160</v>
      </c>
      <c r="AC10" s="5">
        <v>160</v>
      </c>
    </row>
    <row r="11" spans="1:29" x14ac:dyDescent="0.35">
      <c r="A11" s="5" t="s">
        <v>34</v>
      </c>
      <c r="B11" s="5">
        <v>2021</v>
      </c>
      <c r="C11" s="5" t="s">
        <v>43</v>
      </c>
      <c r="D11" s="11">
        <v>147.4</v>
      </c>
      <c r="E11" s="5">
        <v>204.6</v>
      </c>
      <c r="F11" s="5">
        <v>171.2</v>
      </c>
      <c r="G11" s="5">
        <v>158.69999999999999</v>
      </c>
      <c r="H11" s="5">
        <v>190.6</v>
      </c>
      <c r="I11" s="5">
        <v>155.69999999999999</v>
      </c>
      <c r="J11" s="5">
        <v>185.3</v>
      </c>
      <c r="K11" s="5">
        <v>165.2</v>
      </c>
      <c r="L11" s="5">
        <v>121.9</v>
      </c>
      <c r="M11" s="5">
        <v>169.3</v>
      </c>
      <c r="N11" s="5">
        <v>163.19999999999999</v>
      </c>
      <c r="O11" s="5">
        <v>174.7</v>
      </c>
      <c r="P11" s="5">
        <v>167.7</v>
      </c>
      <c r="Q11" s="5">
        <v>192.7</v>
      </c>
      <c r="R11" s="5">
        <v>165.7</v>
      </c>
      <c r="S11" s="5">
        <v>156.30000000000001</v>
      </c>
      <c r="T11" s="5">
        <v>164.3</v>
      </c>
      <c r="U11" s="5">
        <v>163.6</v>
      </c>
      <c r="V11" s="5">
        <v>164.2</v>
      </c>
      <c r="W11" s="5">
        <v>158.4</v>
      </c>
      <c r="X11" s="5">
        <v>169.1</v>
      </c>
      <c r="Y11" s="5">
        <v>155.69999999999999</v>
      </c>
      <c r="Z11" s="5">
        <v>158.6</v>
      </c>
      <c r="AA11" s="5">
        <v>163.9</v>
      </c>
      <c r="AB11" s="5">
        <v>160.80000000000001</v>
      </c>
      <c r="AC11" s="5">
        <v>161</v>
      </c>
    </row>
    <row r="12" spans="1:29" x14ac:dyDescent="0.35">
      <c r="A12" s="5" t="s">
        <v>34</v>
      </c>
      <c r="B12" s="5">
        <v>2021</v>
      </c>
      <c r="C12" s="5" t="s">
        <v>45</v>
      </c>
      <c r="D12" s="11">
        <v>148.19999999999999</v>
      </c>
      <c r="E12" s="5">
        <v>201.6</v>
      </c>
      <c r="F12" s="5">
        <v>173</v>
      </c>
      <c r="G12" s="5">
        <v>159.30000000000001</v>
      </c>
      <c r="H12" s="5">
        <v>190.1</v>
      </c>
      <c r="I12" s="5">
        <v>156.5</v>
      </c>
      <c r="J12" s="5">
        <v>199.2</v>
      </c>
      <c r="K12" s="5">
        <v>165.3</v>
      </c>
      <c r="L12" s="5">
        <v>122.4</v>
      </c>
      <c r="M12" s="5">
        <v>169.6</v>
      </c>
      <c r="N12" s="5">
        <v>163.69999999999999</v>
      </c>
      <c r="O12" s="5">
        <v>175.5</v>
      </c>
      <c r="P12" s="5">
        <v>169.7</v>
      </c>
      <c r="Q12" s="5">
        <v>192.9</v>
      </c>
      <c r="R12" s="5">
        <v>167.2</v>
      </c>
      <c r="S12" s="5">
        <v>157.4</v>
      </c>
      <c r="T12" s="5">
        <v>165.8</v>
      </c>
      <c r="U12" s="5">
        <v>164.2</v>
      </c>
      <c r="V12" s="5">
        <v>163.9</v>
      </c>
      <c r="W12" s="5">
        <v>159.30000000000001</v>
      </c>
      <c r="X12" s="5">
        <v>169.9</v>
      </c>
      <c r="Y12" s="5">
        <v>154.80000000000001</v>
      </c>
      <c r="Z12" s="5">
        <v>159.80000000000001</v>
      </c>
      <c r="AA12" s="5">
        <v>164.3</v>
      </c>
      <c r="AB12" s="5">
        <v>162.19999999999999</v>
      </c>
      <c r="AC12" s="5">
        <v>161.4</v>
      </c>
    </row>
    <row r="13" spans="1:29" x14ac:dyDescent="0.35">
      <c r="A13" s="5" t="s">
        <v>34</v>
      </c>
      <c r="B13" s="5">
        <v>2021</v>
      </c>
      <c r="C13" s="5" t="s">
        <v>46</v>
      </c>
      <c r="D13" s="11">
        <v>148.69999999999999</v>
      </c>
      <c r="E13" s="5">
        <v>198.8</v>
      </c>
      <c r="F13" s="5">
        <v>177.9</v>
      </c>
      <c r="G13" s="5">
        <v>159.9</v>
      </c>
      <c r="H13" s="5">
        <v>187.6</v>
      </c>
      <c r="I13" s="5">
        <v>154.9</v>
      </c>
      <c r="J13" s="5">
        <v>188.3</v>
      </c>
      <c r="K13" s="5">
        <v>164.4</v>
      </c>
      <c r="L13" s="5">
        <v>121</v>
      </c>
      <c r="M13" s="5">
        <v>170.5</v>
      </c>
      <c r="N13" s="5">
        <v>164.2</v>
      </c>
      <c r="O13" s="5">
        <v>176.5</v>
      </c>
      <c r="P13" s="5">
        <v>168.2</v>
      </c>
      <c r="Q13" s="5">
        <v>192.4</v>
      </c>
      <c r="R13" s="5">
        <v>168.5</v>
      </c>
      <c r="S13" s="5">
        <v>158.69999999999999</v>
      </c>
      <c r="T13" s="5">
        <v>167</v>
      </c>
      <c r="U13" s="5">
        <v>163.4</v>
      </c>
      <c r="V13" s="5">
        <v>164.1</v>
      </c>
      <c r="W13" s="5">
        <v>160.19999999999999</v>
      </c>
      <c r="X13" s="5">
        <v>170.6</v>
      </c>
      <c r="Y13" s="5">
        <v>155.69999999999999</v>
      </c>
      <c r="Z13" s="5">
        <v>160.6</v>
      </c>
      <c r="AA13" s="5">
        <v>164.4</v>
      </c>
      <c r="AB13" s="5">
        <v>162.6</v>
      </c>
      <c r="AC13" s="5">
        <v>162</v>
      </c>
    </row>
    <row r="14" spans="1:29" x14ac:dyDescent="0.35">
      <c r="A14" s="5" t="s">
        <v>34</v>
      </c>
      <c r="B14" s="5">
        <v>2022</v>
      </c>
      <c r="C14" s="5" t="s">
        <v>31</v>
      </c>
      <c r="D14" s="11">
        <v>149.5</v>
      </c>
      <c r="E14" s="5">
        <v>198.7</v>
      </c>
      <c r="F14" s="5">
        <v>178.8</v>
      </c>
      <c r="G14" s="5">
        <v>160.5</v>
      </c>
      <c r="H14" s="5">
        <v>184.7</v>
      </c>
      <c r="I14" s="5">
        <v>153.69999999999999</v>
      </c>
      <c r="J14" s="5">
        <v>174.3</v>
      </c>
      <c r="K14" s="5">
        <v>163.9</v>
      </c>
      <c r="L14" s="5">
        <v>120</v>
      </c>
      <c r="M14" s="5">
        <v>172.1</v>
      </c>
      <c r="N14" s="5">
        <v>164.3</v>
      </c>
      <c r="O14" s="5">
        <v>177.3</v>
      </c>
      <c r="P14" s="5">
        <v>166.4</v>
      </c>
      <c r="Q14" s="5">
        <v>192.2</v>
      </c>
      <c r="R14" s="5">
        <v>169.9</v>
      </c>
      <c r="S14" s="5">
        <v>160.69999999999999</v>
      </c>
      <c r="T14" s="5">
        <v>168.5</v>
      </c>
      <c r="U14" s="5">
        <v>164.5</v>
      </c>
      <c r="V14" s="5">
        <v>164.2</v>
      </c>
      <c r="W14" s="5">
        <v>161.1</v>
      </c>
      <c r="X14" s="5">
        <v>171.4</v>
      </c>
      <c r="Y14" s="5">
        <v>156.5</v>
      </c>
      <c r="Z14" s="5">
        <v>161.19999999999999</v>
      </c>
      <c r="AA14" s="5">
        <v>164.7</v>
      </c>
      <c r="AB14" s="5">
        <v>163</v>
      </c>
      <c r="AC14" s="5">
        <v>162.69999999999999</v>
      </c>
    </row>
    <row r="15" spans="1:29" x14ac:dyDescent="0.35">
      <c r="A15" s="5" t="s">
        <v>34</v>
      </c>
      <c r="B15" s="5">
        <v>2022</v>
      </c>
      <c r="C15" s="5" t="s">
        <v>35</v>
      </c>
      <c r="D15" s="11">
        <v>150</v>
      </c>
      <c r="E15" s="5">
        <v>200.6</v>
      </c>
      <c r="F15" s="5">
        <v>175.8</v>
      </c>
      <c r="G15" s="5">
        <v>160.69999999999999</v>
      </c>
      <c r="H15" s="5">
        <v>184.9</v>
      </c>
      <c r="I15" s="5">
        <v>153.69999999999999</v>
      </c>
      <c r="J15" s="5">
        <v>169.7</v>
      </c>
      <c r="K15" s="5">
        <v>163.69999999999999</v>
      </c>
      <c r="L15" s="5">
        <v>118.9</v>
      </c>
      <c r="M15" s="5">
        <v>174.3</v>
      </c>
      <c r="N15" s="5">
        <v>164.7</v>
      </c>
      <c r="O15" s="5">
        <v>178</v>
      </c>
      <c r="P15" s="5">
        <v>166.2</v>
      </c>
      <c r="Q15" s="5">
        <v>192.8</v>
      </c>
      <c r="R15" s="5">
        <v>170.8</v>
      </c>
      <c r="S15" s="5">
        <v>162.4</v>
      </c>
      <c r="T15" s="5">
        <v>169.6</v>
      </c>
      <c r="U15" s="5">
        <v>165.5</v>
      </c>
      <c r="V15" s="5">
        <v>165.7</v>
      </c>
      <c r="W15" s="5">
        <v>161.80000000000001</v>
      </c>
      <c r="X15" s="5">
        <v>172.2</v>
      </c>
      <c r="Y15" s="5">
        <v>156.9</v>
      </c>
      <c r="Z15" s="5">
        <v>162.1</v>
      </c>
      <c r="AA15" s="5">
        <v>165.4</v>
      </c>
      <c r="AB15" s="5">
        <v>164.4</v>
      </c>
      <c r="AC15" s="5">
        <v>163.5</v>
      </c>
    </row>
    <row r="16" spans="1:29" x14ac:dyDescent="0.35">
      <c r="A16" s="5" t="s">
        <v>34</v>
      </c>
      <c r="B16" s="5">
        <v>2022</v>
      </c>
      <c r="C16" s="5" t="s">
        <v>36</v>
      </c>
      <c r="D16" s="11">
        <v>151.30000000000001</v>
      </c>
      <c r="E16" s="5">
        <v>210.7</v>
      </c>
      <c r="F16" s="5">
        <v>167.8</v>
      </c>
      <c r="G16" s="5">
        <v>162.19999999999999</v>
      </c>
      <c r="H16" s="5">
        <v>194.6</v>
      </c>
      <c r="I16" s="5">
        <v>157.6</v>
      </c>
      <c r="J16" s="5">
        <v>166.9</v>
      </c>
      <c r="K16" s="5">
        <v>163.9</v>
      </c>
      <c r="L16" s="5">
        <v>118.8</v>
      </c>
      <c r="M16" s="5">
        <v>177.4</v>
      </c>
      <c r="N16" s="5">
        <v>165.3</v>
      </c>
      <c r="O16" s="5">
        <v>179.3</v>
      </c>
      <c r="P16" s="5">
        <v>168.4</v>
      </c>
      <c r="Q16" s="5">
        <v>193.7</v>
      </c>
      <c r="R16" s="5">
        <v>172.1</v>
      </c>
      <c r="S16" s="5">
        <v>164.6</v>
      </c>
      <c r="T16" s="5">
        <v>171.1</v>
      </c>
      <c r="U16" s="5">
        <v>165.3</v>
      </c>
      <c r="V16" s="5">
        <v>167.2</v>
      </c>
      <c r="W16" s="5">
        <v>162.80000000000001</v>
      </c>
      <c r="X16" s="5">
        <v>173</v>
      </c>
      <c r="Y16" s="5">
        <v>157.9</v>
      </c>
      <c r="Z16" s="5">
        <v>163.30000000000001</v>
      </c>
      <c r="AA16" s="5">
        <v>166</v>
      </c>
      <c r="AB16" s="5">
        <v>167.2</v>
      </c>
      <c r="AC16" s="5">
        <v>164.6</v>
      </c>
    </row>
    <row r="17" spans="1:29" x14ac:dyDescent="0.35">
      <c r="A17" s="5" t="s">
        <v>34</v>
      </c>
      <c r="B17" s="5">
        <v>2022</v>
      </c>
      <c r="C17" s="5" t="s">
        <v>37</v>
      </c>
      <c r="D17" s="11">
        <v>152.9</v>
      </c>
      <c r="E17" s="5">
        <v>211.8</v>
      </c>
      <c r="F17" s="5">
        <v>164.5</v>
      </c>
      <c r="G17" s="5">
        <v>163.9</v>
      </c>
      <c r="H17" s="5">
        <v>199.5</v>
      </c>
      <c r="I17" s="5">
        <v>172.6</v>
      </c>
      <c r="J17" s="5">
        <v>166.2</v>
      </c>
      <c r="K17" s="5">
        <v>164.7</v>
      </c>
      <c r="L17" s="5">
        <v>119</v>
      </c>
      <c r="M17" s="5">
        <v>181.3</v>
      </c>
      <c r="N17" s="5">
        <v>166.2</v>
      </c>
      <c r="O17" s="5">
        <v>180.9</v>
      </c>
      <c r="P17" s="5">
        <v>170.8</v>
      </c>
      <c r="Q17" s="5">
        <v>193.9</v>
      </c>
      <c r="R17" s="5">
        <v>173.9</v>
      </c>
      <c r="S17" s="5">
        <v>166.5</v>
      </c>
      <c r="T17" s="5">
        <v>172.8</v>
      </c>
      <c r="U17" s="5">
        <v>167</v>
      </c>
      <c r="V17" s="5">
        <v>172.2</v>
      </c>
      <c r="W17" s="5">
        <v>164</v>
      </c>
      <c r="X17" s="5">
        <v>174</v>
      </c>
      <c r="Y17" s="5">
        <v>162.6</v>
      </c>
      <c r="Z17" s="5">
        <v>164.4</v>
      </c>
      <c r="AA17" s="5">
        <v>166.9</v>
      </c>
      <c r="AB17" s="5">
        <v>168.8</v>
      </c>
      <c r="AC17" s="5">
        <v>166.8</v>
      </c>
    </row>
    <row r="18" spans="1:29" x14ac:dyDescent="0.35">
      <c r="A18" s="5" t="s">
        <v>34</v>
      </c>
      <c r="B18" s="5">
        <v>2022</v>
      </c>
      <c r="C18" s="5" t="s">
        <v>38</v>
      </c>
      <c r="D18" s="11">
        <v>154.1</v>
      </c>
      <c r="E18" s="5">
        <v>217</v>
      </c>
      <c r="F18" s="5">
        <v>162.4</v>
      </c>
      <c r="G18" s="5">
        <v>164.9</v>
      </c>
      <c r="H18" s="5">
        <v>202.4</v>
      </c>
      <c r="I18" s="5">
        <v>171</v>
      </c>
      <c r="J18" s="5">
        <v>174.9</v>
      </c>
      <c r="K18" s="5">
        <v>164.7</v>
      </c>
      <c r="L18" s="5">
        <v>119.7</v>
      </c>
      <c r="M18" s="5">
        <v>184.9</v>
      </c>
      <c r="N18" s="5">
        <v>167.1</v>
      </c>
      <c r="O18" s="5">
        <v>182.5</v>
      </c>
      <c r="P18" s="5">
        <v>173.3</v>
      </c>
      <c r="Q18" s="5">
        <v>194.1</v>
      </c>
      <c r="R18" s="5">
        <v>175.6</v>
      </c>
      <c r="S18" s="5">
        <v>168.4</v>
      </c>
      <c r="T18" s="5">
        <v>174.6</v>
      </c>
      <c r="U18" s="5">
        <v>167.5</v>
      </c>
      <c r="V18" s="5">
        <v>174.6</v>
      </c>
      <c r="W18" s="5">
        <v>165.2</v>
      </c>
      <c r="X18" s="5">
        <v>174.8</v>
      </c>
      <c r="Y18" s="5">
        <v>163</v>
      </c>
      <c r="Z18" s="5">
        <v>165.1</v>
      </c>
      <c r="AA18" s="5">
        <v>167.9</v>
      </c>
      <c r="AB18" s="5">
        <v>168.4</v>
      </c>
      <c r="AC18" s="5">
        <v>167.5</v>
      </c>
    </row>
    <row r="19" spans="1:29" x14ac:dyDescent="0.35">
      <c r="A19" s="5" t="s">
        <v>34</v>
      </c>
      <c r="B19" s="5">
        <v>2022</v>
      </c>
      <c r="C19" s="5" t="s">
        <v>39</v>
      </c>
      <c r="D19" s="11">
        <v>155</v>
      </c>
      <c r="E19" s="5">
        <v>219.4</v>
      </c>
      <c r="F19" s="5">
        <v>170.8</v>
      </c>
      <c r="G19" s="5">
        <v>165.8</v>
      </c>
      <c r="H19" s="5">
        <v>200.9</v>
      </c>
      <c r="I19" s="5">
        <v>169.7</v>
      </c>
      <c r="J19" s="5">
        <v>182.3</v>
      </c>
      <c r="K19" s="5">
        <v>164.3</v>
      </c>
      <c r="L19" s="5">
        <v>119.9</v>
      </c>
      <c r="M19" s="5">
        <v>187.1</v>
      </c>
      <c r="N19" s="5">
        <v>167.9</v>
      </c>
      <c r="O19" s="5">
        <v>183.9</v>
      </c>
      <c r="P19" s="5">
        <v>174.9</v>
      </c>
      <c r="Q19" s="5">
        <v>194.3</v>
      </c>
      <c r="R19" s="5">
        <v>177.1</v>
      </c>
      <c r="S19" s="5">
        <v>169.9</v>
      </c>
      <c r="T19" s="5">
        <v>176</v>
      </c>
      <c r="U19" s="5">
        <v>166.8</v>
      </c>
      <c r="V19" s="5">
        <v>176</v>
      </c>
      <c r="W19" s="5">
        <v>166.4</v>
      </c>
      <c r="X19" s="5">
        <v>175.4</v>
      </c>
      <c r="Y19" s="5">
        <v>161.1</v>
      </c>
      <c r="Z19" s="5">
        <v>165.8</v>
      </c>
      <c r="AA19" s="5">
        <v>169</v>
      </c>
      <c r="AB19" s="5">
        <v>169.4</v>
      </c>
      <c r="AC19" s="5">
        <v>167.5</v>
      </c>
    </row>
    <row r="20" spans="1:29" x14ac:dyDescent="0.35">
      <c r="A20" s="5" t="s">
        <v>34</v>
      </c>
      <c r="B20" s="5">
        <v>2022</v>
      </c>
      <c r="C20" s="5" t="s">
        <v>40</v>
      </c>
      <c r="D20" s="11">
        <v>156.5</v>
      </c>
      <c r="E20" s="5">
        <v>213</v>
      </c>
      <c r="F20" s="5">
        <v>175.2</v>
      </c>
      <c r="G20" s="5">
        <v>166.6</v>
      </c>
      <c r="H20" s="5">
        <v>195.8</v>
      </c>
      <c r="I20" s="5">
        <v>174.2</v>
      </c>
      <c r="J20" s="5">
        <v>182.1</v>
      </c>
      <c r="K20" s="5">
        <v>164.3</v>
      </c>
      <c r="L20" s="5">
        <v>120</v>
      </c>
      <c r="M20" s="5">
        <v>190</v>
      </c>
      <c r="N20" s="5">
        <v>168.4</v>
      </c>
      <c r="O20" s="5">
        <v>185.2</v>
      </c>
      <c r="P20" s="5">
        <v>175</v>
      </c>
      <c r="Q20" s="5">
        <v>194.6</v>
      </c>
      <c r="R20" s="5">
        <v>178.3</v>
      </c>
      <c r="S20" s="5">
        <v>171.3</v>
      </c>
      <c r="T20" s="5">
        <v>177.3</v>
      </c>
      <c r="U20" s="5">
        <v>167.8</v>
      </c>
      <c r="V20" s="5">
        <v>179.6</v>
      </c>
      <c r="W20" s="5">
        <v>167.4</v>
      </c>
      <c r="X20" s="5">
        <v>176.1</v>
      </c>
      <c r="Y20" s="5">
        <v>161.6</v>
      </c>
      <c r="Z20" s="5">
        <v>166.3</v>
      </c>
      <c r="AA20" s="5">
        <v>171.4</v>
      </c>
      <c r="AB20" s="5">
        <v>169.7</v>
      </c>
      <c r="AC20" s="5">
        <v>168.4</v>
      </c>
    </row>
    <row r="21" spans="1:29" x14ac:dyDescent="0.35">
      <c r="A21" s="5" t="s">
        <v>34</v>
      </c>
      <c r="B21" s="5">
        <v>2022</v>
      </c>
      <c r="C21" s="5" t="s">
        <v>41</v>
      </c>
      <c r="D21" s="11">
        <v>160.30000000000001</v>
      </c>
      <c r="E21" s="5">
        <v>206.5</v>
      </c>
      <c r="F21" s="5">
        <v>169.2</v>
      </c>
      <c r="G21" s="5">
        <v>168.1</v>
      </c>
      <c r="H21" s="5">
        <v>192.4</v>
      </c>
      <c r="I21" s="5">
        <v>172.9</v>
      </c>
      <c r="J21" s="5">
        <v>186.7</v>
      </c>
      <c r="K21" s="5">
        <v>167.2</v>
      </c>
      <c r="L21" s="5">
        <v>120.9</v>
      </c>
      <c r="M21" s="5">
        <v>193.6</v>
      </c>
      <c r="N21" s="5">
        <v>168.8</v>
      </c>
      <c r="O21" s="5">
        <v>186.3</v>
      </c>
      <c r="P21" s="5">
        <v>176.3</v>
      </c>
      <c r="Q21" s="5">
        <v>195</v>
      </c>
      <c r="R21" s="5">
        <v>179.5</v>
      </c>
      <c r="S21" s="5">
        <v>172.7</v>
      </c>
      <c r="T21" s="5">
        <v>178.5</v>
      </c>
      <c r="U21" s="5">
        <v>169</v>
      </c>
      <c r="V21" s="5">
        <v>178.8</v>
      </c>
      <c r="W21" s="5">
        <v>168.5</v>
      </c>
      <c r="X21" s="5">
        <v>176.8</v>
      </c>
      <c r="Y21" s="5">
        <v>161.9</v>
      </c>
      <c r="Z21" s="5">
        <v>166.9</v>
      </c>
      <c r="AA21" s="5">
        <v>172.3</v>
      </c>
      <c r="AB21" s="5">
        <v>171.2</v>
      </c>
      <c r="AC21" s="5">
        <v>169.1</v>
      </c>
    </row>
    <row r="22" spans="1:29" x14ac:dyDescent="0.35">
      <c r="A22" s="5" t="s">
        <v>34</v>
      </c>
      <c r="B22" s="5">
        <v>2022</v>
      </c>
      <c r="C22" s="5" t="s">
        <v>42</v>
      </c>
      <c r="D22" s="11">
        <v>163.5</v>
      </c>
      <c r="E22" s="5">
        <v>209.2</v>
      </c>
      <c r="F22" s="5">
        <v>169.7</v>
      </c>
      <c r="G22" s="5">
        <v>169.7</v>
      </c>
      <c r="H22" s="5">
        <v>188.7</v>
      </c>
      <c r="I22" s="5">
        <v>165.7</v>
      </c>
      <c r="J22" s="5">
        <v>191.8</v>
      </c>
      <c r="K22" s="5">
        <v>169.1</v>
      </c>
      <c r="L22" s="5">
        <v>121.6</v>
      </c>
      <c r="M22" s="5">
        <v>197.3</v>
      </c>
      <c r="N22" s="5">
        <v>169.4</v>
      </c>
      <c r="O22" s="5">
        <v>187.4</v>
      </c>
      <c r="P22" s="5">
        <v>177.8</v>
      </c>
      <c r="Q22" s="5">
        <v>195.9</v>
      </c>
      <c r="R22" s="5">
        <v>180.9</v>
      </c>
      <c r="S22" s="5">
        <v>174.3</v>
      </c>
      <c r="T22" s="5">
        <v>179.9</v>
      </c>
      <c r="U22" s="5">
        <v>169.5</v>
      </c>
      <c r="V22" s="5">
        <v>179.5</v>
      </c>
      <c r="W22" s="5">
        <v>169.5</v>
      </c>
      <c r="X22" s="5">
        <v>177.8</v>
      </c>
      <c r="Y22" s="5">
        <v>162.30000000000001</v>
      </c>
      <c r="Z22" s="5">
        <v>167.6</v>
      </c>
      <c r="AA22" s="5">
        <v>173.1</v>
      </c>
      <c r="AB22" s="5">
        <v>170.9</v>
      </c>
      <c r="AC22" s="5">
        <v>169.7</v>
      </c>
    </row>
    <row r="23" spans="1:29" x14ac:dyDescent="0.35">
      <c r="A23" s="5" t="s">
        <v>34</v>
      </c>
      <c r="B23" s="5">
        <v>2022</v>
      </c>
      <c r="C23" s="5" t="s">
        <v>43</v>
      </c>
      <c r="D23" s="11">
        <v>165.2</v>
      </c>
      <c r="E23" s="5">
        <v>210.9</v>
      </c>
      <c r="F23" s="5">
        <v>170.9</v>
      </c>
      <c r="G23" s="5">
        <v>170.9</v>
      </c>
      <c r="H23" s="5">
        <v>186.5</v>
      </c>
      <c r="I23" s="5">
        <v>163.80000000000001</v>
      </c>
      <c r="J23" s="5">
        <v>199.7</v>
      </c>
      <c r="K23" s="5">
        <v>169.8</v>
      </c>
      <c r="L23" s="5">
        <v>121.9</v>
      </c>
      <c r="M23" s="5">
        <v>199.9</v>
      </c>
      <c r="N23" s="5">
        <v>169.9</v>
      </c>
      <c r="O23" s="5">
        <v>188.3</v>
      </c>
      <c r="P23" s="5">
        <v>179.6</v>
      </c>
      <c r="Q23" s="5">
        <v>196.3</v>
      </c>
      <c r="R23" s="5">
        <v>181.9</v>
      </c>
      <c r="S23" s="5">
        <v>175.3</v>
      </c>
      <c r="T23" s="5">
        <v>181</v>
      </c>
      <c r="U23" s="5">
        <v>171.2</v>
      </c>
      <c r="V23" s="5">
        <v>180.5</v>
      </c>
      <c r="W23" s="5">
        <v>170.4</v>
      </c>
      <c r="X23" s="5">
        <v>178.7</v>
      </c>
      <c r="Y23" s="5">
        <v>162.9</v>
      </c>
      <c r="Z23" s="5">
        <v>168.2</v>
      </c>
      <c r="AA23" s="5">
        <v>173.4</v>
      </c>
      <c r="AB23" s="5">
        <v>172.1</v>
      </c>
      <c r="AC23" s="5">
        <v>170.5</v>
      </c>
    </row>
    <row r="24" spans="1:29" x14ac:dyDescent="0.35">
      <c r="A24" s="5" t="s">
        <v>34</v>
      </c>
      <c r="B24" s="5">
        <v>2022</v>
      </c>
      <c r="C24" s="5" t="s">
        <v>45</v>
      </c>
      <c r="D24" s="11">
        <v>167.4</v>
      </c>
      <c r="E24" s="5">
        <v>209.4</v>
      </c>
      <c r="F24" s="5">
        <v>181.4</v>
      </c>
      <c r="G24" s="5">
        <v>172.3</v>
      </c>
      <c r="H24" s="5">
        <v>188.9</v>
      </c>
      <c r="I24" s="5">
        <v>160.69999999999999</v>
      </c>
      <c r="J24" s="5">
        <v>183.1</v>
      </c>
      <c r="K24" s="5">
        <v>170.5</v>
      </c>
      <c r="L24" s="5">
        <v>122.1</v>
      </c>
      <c r="M24" s="5">
        <v>202.8</v>
      </c>
      <c r="N24" s="5">
        <v>170.4</v>
      </c>
      <c r="O24" s="5">
        <v>189.5</v>
      </c>
      <c r="P24" s="5">
        <v>178.3</v>
      </c>
      <c r="Q24" s="5">
        <v>196.9</v>
      </c>
      <c r="R24" s="5">
        <v>183.1</v>
      </c>
      <c r="S24" s="5">
        <v>176.2</v>
      </c>
      <c r="T24" s="5">
        <v>182.1</v>
      </c>
      <c r="U24" s="5">
        <v>171.8</v>
      </c>
      <c r="V24" s="5">
        <v>181.3</v>
      </c>
      <c r="W24" s="5">
        <v>171.4</v>
      </c>
      <c r="X24" s="5">
        <v>179.8</v>
      </c>
      <c r="Y24" s="5">
        <v>163</v>
      </c>
      <c r="Z24" s="5">
        <v>168.5</v>
      </c>
      <c r="AA24" s="5">
        <v>173.7</v>
      </c>
      <c r="AB24" s="5">
        <v>173.6</v>
      </c>
      <c r="AC24" s="5">
        <v>171.1</v>
      </c>
    </row>
    <row r="25" spans="1:29" x14ac:dyDescent="0.35">
      <c r="A25" s="5" t="s">
        <v>34</v>
      </c>
      <c r="B25" s="5">
        <v>2022</v>
      </c>
      <c r="C25" s="5" t="s">
        <v>46</v>
      </c>
      <c r="D25" s="11">
        <v>169.2</v>
      </c>
      <c r="E25" s="5">
        <v>209</v>
      </c>
      <c r="F25" s="5">
        <v>190.2</v>
      </c>
      <c r="G25" s="5">
        <v>173.6</v>
      </c>
      <c r="H25" s="5">
        <v>188.5</v>
      </c>
      <c r="I25" s="5">
        <v>158</v>
      </c>
      <c r="J25" s="5">
        <v>159.9</v>
      </c>
      <c r="K25" s="5">
        <v>170.8</v>
      </c>
      <c r="L25" s="5">
        <v>121.8</v>
      </c>
      <c r="M25" s="5">
        <v>205.2</v>
      </c>
      <c r="N25" s="5">
        <v>171</v>
      </c>
      <c r="O25" s="5">
        <v>190.3</v>
      </c>
      <c r="P25" s="5">
        <v>175.9</v>
      </c>
      <c r="Q25" s="5">
        <v>197.3</v>
      </c>
      <c r="R25" s="5">
        <v>184</v>
      </c>
      <c r="S25" s="5">
        <v>177</v>
      </c>
      <c r="T25" s="5">
        <v>183</v>
      </c>
      <c r="U25" s="5">
        <v>170.7</v>
      </c>
      <c r="V25" s="5">
        <v>182</v>
      </c>
      <c r="W25" s="5">
        <v>172.1</v>
      </c>
      <c r="X25" s="5">
        <v>181.1</v>
      </c>
      <c r="Y25" s="5">
        <v>163.4</v>
      </c>
      <c r="Z25" s="5">
        <v>168.9</v>
      </c>
      <c r="AA25" s="5">
        <v>174.1</v>
      </c>
      <c r="AB25" s="5">
        <v>175.8</v>
      </c>
      <c r="AC25" s="5">
        <v>172</v>
      </c>
    </row>
    <row r="26" spans="1:29" x14ac:dyDescent="0.35">
      <c r="A26" s="5" t="s">
        <v>34</v>
      </c>
      <c r="B26" s="5">
        <v>2023</v>
      </c>
      <c r="C26" s="5" t="s">
        <v>31</v>
      </c>
      <c r="D26" s="11">
        <v>173.8</v>
      </c>
      <c r="E26" s="5">
        <v>210.7</v>
      </c>
      <c r="F26" s="5">
        <v>194.5</v>
      </c>
      <c r="G26" s="5">
        <v>174.6</v>
      </c>
      <c r="H26" s="5">
        <v>187.2</v>
      </c>
      <c r="I26" s="5">
        <v>158.30000000000001</v>
      </c>
      <c r="J26" s="5">
        <v>153.9</v>
      </c>
      <c r="K26" s="5">
        <v>170.9</v>
      </c>
      <c r="L26" s="5">
        <v>121.1</v>
      </c>
      <c r="M26" s="5">
        <v>208.4</v>
      </c>
      <c r="N26" s="5">
        <v>171.4</v>
      </c>
      <c r="O26" s="5">
        <v>191.2</v>
      </c>
      <c r="P26" s="5">
        <v>176.7</v>
      </c>
      <c r="Q26" s="5">
        <v>198.2</v>
      </c>
      <c r="R26" s="5">
        <v>184.9</v>
      </c>
      <c r="S26" s="5">
        <v>177.6</v>
      </c>
      <c r="T26" s="5">
        <v>183.8</v>
      </c>
      <c r="U26" s="5">
        <v>172.1</v>
      </c>
      <c r="V26" s="5">
        <v>182</v>
      </c>
      <c r="W26" s="5">
        <v>172.9</v>
      </c>
      <c r="X26" s="5">
        <v>182.3</v>
      </c>
      <c r="Y26" s="5">
        <v>163.6</v>
      </c>
      <c r="Z26" s="5">
        <v>169.5</v>
      </c>
      <c r="AA26" s="5">
        <v>174.3</v>
      </c>
      <c r="AB26" s="5">
        <v>178.6</v>
      </c>
      <c r="AC26" s="5">
        <v>172.8</v>
      </c>
    </row>
    <row r="27" spans="1:29" x14ac:dyDescent="0.35">
      <c r="A27" s="5" t="s">
        <v>34</v>
      </c>
      <c r="B27" s="5">
        <v>2023</v>
      </c>
      <c r="C27" s="5" t="s">
        <v>35</v>
      </c>
      <c r="D27" s="11">
        <v>174.4</v>
      </c>
      <c r="E27" s="5">
        <v>207.7</v>
      </c>
      <c r="F27" s="5">
        <v>175.2</v>
      </c>
      <c r="G27" s="5">
        <v>177.3</v>
      </c>
      <c r="H27" s="5">
        <v>179.3</v>
      </c>
      <c r="I27" s="5">
        <v>169.5</v>
      </c>
      <c r="J27" s="5">
        <v>152.69999999999999</v>
      </c>
      <c r="K27" s="5">
        <v>171</v>
      </c>
      <c r="L27" s="5">
        <v>120</v>
      </c>
      <c r="M27" s="5">
        <v>209.7</v>
      </c>
      <c r="N27" s="5">
        <v>172.3</v>
      </c>
      <c r="O27" s="5">
        <v>193</v>
      </c>
      <c r="P27" s="5">
        <v>177</v>
      </c>
      <c r="Q27" s="5">
        <v>199.5</v>
      </c>
      <c r="R27" s="5">
        <v>186.2</v>
      </c>
      <c r="S27" s="5">
        <v>178.7</v>
      </c>
      <c r="T27" s="5">
        <v>185.1</v>
      </c>
      <c r="U27" s="5">
        <v>173.5</v>
      </c>
      <c r="V27" s="5">
        <v>182.1</v>
      </c>
      <c r="W27" s="5">
        <v>174.2</v>
      </c>
      <c r="X27" s="5">
        <v>184.4</v>
      </c>
      <c r="Y27" s="5">
        <v>164.2</v>
      </c>
      <c r="Z27" s="5">
        <v>170.3</v>
      </c>
      <c r="AA27" s="5">
        <v>175</v>
      </c>
      <c r="AB27" s="5">
        <v>181</v>
      </c>
      <c r="AC27" s="5">
        <v>174.1</v>
      </c>
    </row>
    <row r="28" spans="1:29" x14ac:dyDescent="0.35">
      <c r="A28" s="5" t="s">
        <v>34</v>
      </c>
      <c r="B28" s="5">
        <v>2023</v>
      </c>
      <c r="C28" s="5" t="s">
        <v>36</v>
      </c>
      <c r="D28" s="11">
        <v>174.4</v>
      </c>
      <c r="E28" s="5">
        <v>207.7</v>
      </c>
      <c r="F28" s="5">
        <v>175.2</v>
      </c>
      <c r="G28" s="5">
        <v>177.3</v>
      </c>
      <c r="H28" s="5">
        <v>179.2</v>
      </c>
      <c r="I28" s="5">
        <v>169.5</v>
      </c>
      <c r="J28" s="5">
        <v>152.80000000000001</v>
      </c>
      <c r="K28" s="5">
        <v>171.1</v>
      </c>
      <c r="L28" s="5">
        <v>120</v>
      </c>
      <c r="M28" s="5">
        <v>209.7</v>
      </c>
      <c r="N28" s="5">
        <v>172.3</v>
      </c>
      <c r="O28" s="5">
        <v>193</v>
      </c>
      <c r="P28" s="5">
        <v>177</v>
      </c>
      <c r="Q28" s="5">
        <v>199.5</v>
      </c>
      <c r="R28" s="5">
        <v>186.1</v>
      </c>
      <c r="S28" s="5">
        <v>178.7</v>
      </c>
      <c r="T28" s="5">
        <v>185.1</v>
      </c>
      <c r="U28" s="5">
        <v>173.5</v>
      </c>
      <c r="V28" s="5">
        <v>181.9</v>
      </c>
      <c r="W28" s="5">
        <v>174.2</v>
      </c>
      <c r="X28" s="5">
        <v>184.4</v>
      </c>
      <c r="Y28" s="5">
        <v>164.2</v>
      </c>
      <c r="Z28" s="5">
        <v>170.3</v>
      </c>
      <c r="AA28" s="5">
        <v>175</v>
      </c>
      <c r="AB28" s="5">
        <v>181</v>
      </c>
      <c r="AC28" s="5">
        <v>174.1</v>
      </c>
    </row>
    <row r="29" spans="1:29" x14ac:dyDescent="0.35">
      <c r="A29" s="5" t="s">
        <v>34</v>
      </c>
      <c r="B29" s="5">
        <v>2023</v>
      </c>
      <c r="C29" s="5" t="s">
        <v>37</v>
      </c>
      <c r="D29" s="11">
        <v>173.8</v>
      </c>
      <c r="E29" s="5">
        <v>209.3</v>
      </c>
      <c r="F29" s="5">
        <v>169.6</v>
      </c>
      <c r="G29" s="5">
        <v>178.4</v>
      </c>
      <c r="H29" s="5">
        <v>174.9</v>
      </c>
      <c r="I29" s="5">
        <v>176.3</v>
      </c>
      <c r="J29" s="5">
        <v>155.4</v>
      </c>
      <c r="K29" s="5">
        <v>173.4</v>
      </c>
      <c r="L29" s="5">
        <v>121.3</v>
      </c>
      <c r="M29" s="5">
        <v>212.9</v>
      </c>
      <c r="N29" s="5">
        <v>172.9</v>
      </c>
      <c r="O29" s="5">
        <v>193.5</v>
      </c>
      <c r="P29" s="5">
        <v>177.9</v>
      </c>
      <c r="Q29" s="5">
        <v>200.6</v>
      </c>
      <c r="R29" s="5">
        <v>186.9</v>
      </c>
      <c r="S29" s="5">
        <v>179.2</v>
      </c>
      <c r="T29" s="5">
        <v>185.7</v>
      </c>
      <c r="U29" s="5">
        <v>175.2</v>
      </c>
      <c r="V29" s="5">
        <v>181.7</v>
      </c>
      <c r="W29" s="5">
        <v>174.6</v>
      </c>
      <c r="X29" s="5">
        <v>185</v>
      </c>
      <c r="Y29" s="5">
        <v>164.5</v>
      </c>
      <c r="Z29" s="5">
        <v>170.7</v>
      </c>
      <c r="AA29" s="5">
        <v>176.4</v>
      </c>
      <c r="AB29" s="5">
        <v>184</v>
      </c>
      <c r="AC29" s="5">
        <v>175</v>
      </c>
    </row>
    <row r="30" spans="1:29" x14ac:dyDescent="0.35">
      <c r="A30" s="5" t="s">
        <v>34</v>
      </c>
      <c r="B30" s="5">
        <v>2023</v>
      </c>
      <c r="C30" s="5" t="s">
        <v>38</v>
      </c>
      <c r="D30" s="11">
        <v>173.7</v>
      </c>
      <c r="E30" s="5">
        <v>214.3</v>
      </c>
      <c r="F30" s="5">
        <v>173.2</v>
      </c>
      <c r="G30" s="5">
        <v>179.5</v>
      </c>
      <c r="H30" s="5">
        <v>170</v>
      </c>
      <c r="I30" s="5">
        <v>172.2</v>
      </c>
      <c r="J30" s="5">
        <v>161</v>
      </c>
      <c r="K30" s="5">
        <v>175.6</v>
      </c>
      <c r="L30" s="5">
        <v>122.7</v>
      </c>
      <c r="M30" s="5">
        <v>218</v>
      </c>
      <c r="N30" s="5">
        <v>173.4</v>
      </c>
      <c r="O30" s="5">
        <v>194.2</v>
      </c>
      <c r="P30" s="5">
        <v>179.1</v>
      </c>
      <c r="Q30" s="5">
        <v>201</v>
      </c>
      <c r="R30" s="5">
        <v>187.3</v>
      </c>
      <c r="S30" s="5">
        <v>179.7</v>
      </c>
      <c r="T30" s="5">
        <v>186.2</v>
      </c>
      <c r="U30" s="5">
        <v>175.6</v>
      </c>
      <c r="V30" s="5">
        <v>182.8</v>
      </c>
      <c r="W30" s="5">
        <v>175.2</v>
      </c>
      <c r="X30" s="5">
        <v>185.7</v>
      </c>
      <c r="Y30" s="5">
        <v>164.8</v>
      </c>
      <c r="Z30" s="5">
        <v>171.2</v>
      </c>
      <c r="AA30" s="5">
        <v>177.1</v>
      </c>
      <c r="AB30" s="5">
        <v>185.2</v>
      </c>
      <c r="AC30" s="5">
        <v>175.7</v>
      </c>
    </row>
    <row r="33" spans="1:29" x14ac:dyDescent="0.35">
      <c r="A33" s="55" t="s">
        <v>144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</row>
    <row r="34" spans="1:29" x14ac:dyDescent="0.35">
      <c r="A34" s="15" t="s">
        <v>0</v>
      </c>
      <c r="B34" s="15" t="s">
        <v>1</v>
      </c>
      <c r="C34" s="15" t="s">
        <v>2</v>
      </c>
      <c r="D34" s="15" t="s">
        <v>3</v>
      </c>
      <c r="E34" s="15" t="s">
        <v>4</v>
      </c>
      <c r="F34" s="15" t="s">
        <v>5</v>
      </c>
      <c r="G34" s="15" t="s">
        <v>6</v>
      </c>
      <c r="H34" s="15" t="s">
        <v>7</v>
      </c>
      <c r="I34" s="15" t="s">
        <v>8</v>
      </c>
      <c r="J34" s="15" t="s">
        <v>9</v>
      </c>
      <c r="K34" s="15" t="s">
        <v>10</v>
      </c>
      <c r="L34" s="15" t="s">
        <v>11</v>
      </c>
      <c r="M34" s="15" t="s">
        <v>12</v>
      </c>
      <c r="N34" s="15" t="s">
        <v>13</v>
      </c>
      <c r="O34" s="15" t="s">
        <v>74</v>
      </c>
      <c r="P34" s="15" t="s">
        <v>15</v>
      </c>
      <c r="Q34" s="15" t="s">
        <v>73</v>
      </c>
      <c r="R34" s="15" t="s">
        <v>17</v>
      </c>
      <c r="S34" s="15" t="s">
        <v>18</v>
      </c>
      <c r="T34" s="15" t="s">
        <v>19</v>
      </c>
      <c r="U34" s="15" t="s">
        <v>20</v>
      </c>
      <c r="V34" s="15" t="s">
        <v>21</v>
      </c>
      <c r="W34" s="15" t="s">
        <v>22</v>
      </c>
      <c r="X34" s="15" t="s">
        <v>23</v>
      </c>
      <c r="Y34" s="15" t="s">
        <v>24</v>
      </c>
      <c r="Z34" s="15" t="s">
        <v>25</v>
      </c>
      <c r="AA34" s="15" t="s">
        <v>26</v>
      </c>
      <c r="AB34" s="15" t="s">
        <v>27</v>
      </c>
      <c r="AC34" s="15" t="s">
        <v>28</v>
      </c>
    </row>
    <row r="35" spans="1:29" x14ac:dyDescent="0.35">
      <c r="A35" s="10" t="s">
        <v>30</v>
      </c>
      <c r="B35" s="10">
        <v>2021</v>
      </c>
      <c r="C35" s="10" t="s">
        <v>37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x14ac:dyDescent="0.35">
      <c r="A36" s="15" t="s">
        <v>30</v>
      </c>
      <c r="B36" s="15">
        <v>2021</v>
      </c>
      <c r="C36" s="15" t="s">
        <v>38</v>
      </c>
      <c r="D36" s="9">
        <f t="shared" ref="D36:AC36" si="0">IFERROR((D6-D5)/D5,0)</f>
        <v>1.386001386001386E-2</v>
      </c>
      <c r="E36" s="9">
        <f t="shared" si="0"/>
        <v>1.2626262626262626E-2</v>
      </c>
      <c r="F36" s="9">
        <f t="shared" si="0"/>
        <v>3.4629404617254056E-2</v>
      </c>
      <c r="G36" s="9">
        <f t="shared" si="0"/>
        <v>4.5045045045044316E-3</v>
      </c>
      <c r="H36" s="9">
        <f t="shared" si="0"/>
        <v>5.0558495002939415E-2</v>
      </c>
      <c r="I36" s="9">
        <f t="shared" si="0"/>
        <v>1.6423357664233508E-2</v>
      </c>
      <c r="J36" s="9">
        <f t="shared" si="0"/>
        <v>2.637057598889668E-2</v>
      </c>
      <c r="K36" s="9">
        <f t="shared" si="0"/>
        <v>2.2881880024737275E-2</v>
      </c>
      <c r="L36" s="9">
        <f t="shared" si="0"/>
        <v>1.503094606542885E-2</v>
      </c>
      <c r="M36" s="9">
        <f t="shared" si="0"/>
        <v>2.6235509456985863E-2</v>
      </c>
      <c r="N36" s="9">
        <f t="shared" si="0"/>
        <v>1.0786802030456961E-2</v>
      </c>
      <c r="O36" s="9">
        <f t="shared" si="0"/>
        <v>8.8809946714031966E-3</v>
      </c>
      <c r="P36" s="9">
        <f t="shared" si="0"/>
        <v>1.7088607594936637E-2</v>
      </c>
      <c r="Q36" s="9">
        <f t="shared" si="0"/>
        <v>1.6419491525423699E-2</v>
      </c>
      <c r="R36" s="9">
        <f t="shared" si="0"/>
        <v>1.8891687657430729E-2</v>
      </c>
      <c r="S36" s="9">
        <f t="shared" si="0"/>
        <v>2.4242424242424204E-2</v>
      </c>
      <c r="T36" s="9">
        <f t="shared" si="0"/>
        <v>1.9707565162110578E-2</v>
      </c>
      <c r="U36" s="9">
        <f t="shared" si="0"/>
        <v>1.2391573729862988E-3</v>
      </c>
      <c r="V36" s="9">
        <f t="shared" si="0"/>
        <v>2.4421593830334265E-2</v>
      </c>
      <c r="W36" s="9">
        <f t="shared" si="0"/>
        <v>1.9104084321475475E-2</v>
      </c>
      <c r="X36" s="9">
        <f t="shared" si="0"/>
        <v>2.1565003080714726E-2</v>
      </c>
      <c r="Y36" s="9">
        <f t="shared" si="0"/>
        <v>1.568894952251031E-2</v>
      </c>
      <c r="Z36" s="9">
        <f t="shared" si="0"/>
        <v>1.6971279373368297E-2</v>
      </c>
      <c r="AA36" s="9">
        <f t="shared" si="0"/>
        <v>5.6144728633810183E-3</v>
      </c>
      <c r="AB36" s="9">
        <f t="shared" si="0"/>
        <v>2.0592020592020518E-2</v>
      </c>
      <c r="AC36" s="9">
        <f t="shared" si="0"/>
        <v>1.5544041450777238E-2</v>
      </c>
    </row>
    <row r="37" spans="1:29" x14ac:dyDescent="0.35">
      <c r="A37" s="15" t="s">
        <v>30</v>
      </c>
      <c r="B37" s="15">
        <v>2021</v>
      </c>
      <c r="C37" s="15" t="s">
        <v>39</v>
      </c>
      <c r="D37" s="9">
        <f t="shared" ref="D37:S52" si="1">IFERROR((D7-D6)/D6,0)</f>
        <v>2.7341079972657365E-3</v>
      </c>
      <c r="E37" s="9">
        <f t="shared" si="1"/>
        <v>7.481296758104738E-3</v>
      </c>
      <c r="F37" s="9">
        <f t="shared" si="1"/>
        <v>6.1068702290076202E-2</v>
      </c>
      <c r="G37" s="9">
        <f t="shared" si="1"/>
        <v>6.4061499039073878E-4</v>
      </c>
      <c r="H37" s="9">
        <f t="shared" si="1"/>
        <v>2.7979854504756579E-2</v>
      </c>
      <c r="I37" s="9">
        <f t="shared" si="1"/>
        <v>-1.4961101137043686E-2</v>
      </c>
      <c r="J37" s="9">
        <f t="shared" si="1"/>
        <v>5.0709939148073022E-2</v>
      </c>
      <c r="K37" s="9">
        <f t="shared" si="1"/>
        <v>3.6275695284159267E-3</v>
      </c>
      <c r="L37" s="9">
        <f t="shared" si="1"/>
        <v>2.6132404181184424E-3</v>
      </c>
      <c r="M37" s="9">
        <f t="shared" si="1"/>
        <v>1.7835909631391878E-3</v>
      </c>
      <c r="N37" s="9">
        <f t="shared" si="1"/>
        <v>4.394224733207712E-3</v>
      </c>
      <c r="O37" s="9">
        <f t="shared" si="1"/>
        <v>1.1737089201877934E-2</v>
      </c>
      <c r="P37" s="9">
        <f t="shared" si="1"/>
        <v>1.1823273179838244E-2</v>
      </c>
      <c r="Q37" s="9">
        <f t="shared" si="1"/>
        <v>-5.7321521625846496E-3</v>
      </c>
      <c r="R37" s="9">
        <f t="shared" si="1"/>
        <v>2.4721878862792165E-3</v>
      </c>
      <c r="S37" s="9">
        <f t="shared" si="1"/>
        <v>-1.9723865877710909E-3</v>
      </c>
      <c r="T37" s="9">
        <f t="shared" ref="T37:AC37" si="2">IFERROR((T7-T6)/T6,0)</f>
        <v>1.8703241895260782E-3</v>
      </c>
      <c r="U37" s="9">
        <f t="shared" si="2"/>
        <v>-6.8069306930692722E-3</v>
      </c>
      <c r="V37" s="9">
        <f t="shared" si="2"/>
        <v>2.5094102885822186E-3</v>
      </c>
      <c r="W37" s="9">
        <f t="shared" si="2"/>
        <v>6.4641241111844047E-4</v>
      </c>
      <c r="X37" s="9">
        <f t="shared" si="2"/>
        <v>3.0156815440289505E-3</v>
      </c>
      <c r="Y37" s="9">
        <f t="shared" si="2"/>
        <v>1.2088650100738636E-2</v>
      </c>
      <c r="Z37" s="9">
        <f t="shared" si="2"/>
        <v>-5.7766367137355949E-3</v>
      </c>
      <c r="AA37" s="9">
        <f t="shared" si="2"/>
        <v>3.1017369727047149E-3</v>
      </c>
      <c r="AB37" s="9">
        <f t="shared" si="2"/>
        <v>1.2610340479194014E-3</v>
      </c>
      <c r="AC37" s="9">
        <f t="shared" si="2"/>
        <v>5.1020408163264218E-3</v>
      </c>
    </row>
    <row r="38" spans="1:29" x14ac:dyDescent="0.35">
      <c r="A38" s="15" t="s">
        <v>30</v>
      </c>
      <c r="B38" s="15">
        <v>2021</v>
      </c>
      <c r="C38" s="15" t="s">
        <v>40</v>
      </c>
      <c r="D38" s="9">
        <f t="shared" si="1"/>
        <v>-2.0449897750510087E-3</v>
      </c>
      <c r="E38" s="9">
        <f t="shared" si="1"/>
        <v>2.3762376237623818E-2</v>
      </c>
      <c r="F38" s="9">
        <f t="shared" si="1"/>
        <v>8.3010514665190927E-3</v>
      </c>
      <c r="G38" s="9">
        <f t="shared" si="1"/>
        <v>8.32266325224079E-3</v>
      </c>
      <c r="H38" s="9">
        <f t="shared" si="1"/>
        <v>-8.7098530212302364E-3</v>
      </c>
      <c r="I38" s="9">
        <f t="shared" si="1"/>
        <v>-4.2527339003644513E-3</v>
      </c>
      <c r="J38" s="9">
        <f t="shared" si="1"/>
        <v>5.662805662805652E-2</v>
      </c>
      <c r="K38" s="9">
        <f t="shared" si="1"/>
        <v>-1.2048192771084338E-2</v>
      </c>
      <c r="L38" s="9">
        <f t="shared" si="1"/>
        <v>-5.2128583840138519E-3</v>
      </c>
      <c r="M38" s="9">
        <f t="shared" si="1"/>
        <v>-1.1869436201779741E-3</v>
      </c>
      <c r="N38" s="9">
        <f t="shared" si="1"/>
        <v>5.6250000000000354E-3</v>
      </c>
      <c r="O38" s="9">
        <f t="shared" si="1"/>
        <v>-1.1600928074246928E-3</v>
      </c>
      <c r="P38" s="9">
        <f t="shared" si="1"/>
        <v>8.6100861008610446E-3</v>
      </c>
      <c r="Q38" s="9">
        <f t="shared" si="1"/>
        <v>2.0964360587000905E-3</v>
      </c>
      <c r="R38" s="9">
        <f t="shared" si="1"/>
        <v>3.6991368680642589E-3</v>
      </c>
      <c r="S38" s="9">
        <f t="shared" si="1"/>
        <v>8.5638998682475813E-3</v>
      </c>
      <c r="T38" s="9">
        <f t="shared" ref="T38:AC38" si="3">IFERROR((T8-T7)/T7,0)</f>
        <v>4.3559427504668144E-3</v>
      </c>
      <c r="U38" s="9">
        <f t="shared" si="3"/>
        <v>6.2305295950155761E-3</v>
      </c>
      <c r="V38" s="9">
        <f t="shared" si="3"/>
        <v>5.6320400500624356E-3</v>
      </c>
      <c r="W38" s="9">
        <f t="shared" si="3"/>
        <v>6.4599483204134363E-3</v>
      </c>
      <c r="X38" s="9">
        <f t="shared" si="3"/>
        <v>4.2092603728201361E-3</v>
      </c>
      <c r="Y38" s="9">
        <f t="shared" si="3"/>
        <v>1.5925680159256841E-2</v>
      </c>
      <c r="Z38" s="9">
        <f t="shared" si="3"/>
        <v>2.5823111684958404E-3</v>
      </c>
      <c r="AA38" s="9">
        <f t="shared" si="3"/>
        <v>9.2764378478664197E-3</v>
      </c>
      <c r="AB38" s="9">
        <f t="shared" si="3"/>
        <v>8.1863979848865419E-3</v>
      </c>
      <c r="AC38" s="9">
        <f t="shared" si="3"/>
        <v>8.883248730964504E-3</v>
      </c>
    </row>
    <row r="39" spans="1:29" x14ac:dyDescent="0.35">
      <c r="A39" s="15" t="s">
        <v>30</v>
      </c>
      <c r="B39" s="15">
        <v>2021</v>
      </c>
      <c r="C39" s="15" t="s">
        <v>41</v>
      </c>
      <c r="D39" s="9">
        <f t="shared" si="1"/>
        <v>1.3661202185791573E-3</v>
      </c>
      <c r="E39" s="9">
        <f t="shared" si="1"/>
        <v>-1.3539651837524232E-2</v>
      </c>
      <c r="F39" s="9">
        <f t="shared" si="1"/>
        <v>-5.1591657519209536E-2</v>
      </c>
      <c r="G39" s="9">
        <f t="shared" si="1"/>
        <v>5.7142857142857507E-3</v>
      </c>
      <c r="H39" s="9">
        <f t="shared" si="1"/>
        <v>3.2399780340472299E-2</v>
      </c>
      <c r="I39" s="9">
        <f t="shared" si="1"/>
        <v>-4.3319097010372141E-2</v>
      </c>
      <c r="J39" s="9">
        <f t="shared" si="1"/>
        <v>-1.2180267965895251E-2</v>
      </c>
      <c r="K39" s="9">
        <f t="shared" si="1"/>
        <v>6.0975609756094091E-4</v>
      </c>
      <c r="L39" s="9">
        <f t="shared" si="1"/>
        <v>4.5414847161572076E-2</v>
      </c>
      <c r="M39" s="9">
        <f t="shared" si="1"/>
        <v>2.9708853238265003E-3</v>
      </c>
      <c r="N39" s="9">
        <f t="shared" si="1"/>
        <v>1.1187072715972548E-2</v>
      </c>
      <c r="O39" s="9">
        <f t="shared" si="1"/>
        <v>9.872241579558752E-3</v>
      </c>
      <c r="P39" s="9">
        <f t="shared" si="1"/>
        <v>0</v>
      </c>
      <c r="Q39" s="9">
        <f t="shared" si="1"/>
        <v>4.7071129707113267E-3</v>
      </c>
      <c r="R39" s="9">
        <f t="shared" si="1"/>
        <v>1.0442260442260373E-2</v>
      </c>
      <c r="S39" s="9">
        <f t="shared" si="1"/>
        <v>1.4369693011103966E-2</v>
      </c>
      <c r="T39" s="9">
        <f t="shared" ref="T39:AC39" si="4">IFERROR((T9-T8)/T8,0)</f>
        <v>1.1152416356877217E-2</v>
      </c>
      <c r="U39" s="9">
        <f t="shared" si="4"/>
        <v>3.7151702786377356E-3</v>
      </c>
      <c r="V39" s="9">
        <f t="shared" si="4"/>
        <v>1.1823273179838244E-2</v>
      </c>
      <c r="W39" s="9">
        <f t="shared" si="4"/>
        <v>1.0911424903722648E-2</v>
      </c>
      <c r="X39" s="9">
        <f t="shared" si="4"/>
        <v>8.3832335329341659E-3</v>
      </c>
      <c r="Y39" s="9">
        <f t="shared" si="4"/>
        <v>5.8785107772697954E-3</v>
      </c>
      <c r="Z39" s="9">
        <f t="shared" si="4"/>
        <v>1.4810045074050114E-2</v>
      </c>
      <c r="AA39" s="9">
        <f t="shared" si="4"/>
        <v>3.6764705882354337E-3</v>
      </c>
      <c r="AB39" s="9">
        <f t="shared" si="4"/>
        <v>-6.2460961898809693E-4</v>
      </c>
      <c r="AC39" s="9">
        <f t="shared" si="4"/>
        <v>6.2893081761006293E-3</v>
      </c>
    </row>
    <row r="40" spans="1:29" x14ac:dyDescent="0.35">
      <c r="A40" s="15" t="s">
        <v>30</v>
      </c>
      <c r="B40" s="15">
        <v>2021</v>
      </c>
      <c r="C40" s="15" t="s">
        <v>42</v>
      </c>
      <c r="D40" s="9">
        <f t="shared" si="1"/>
        <v>0</v>
      </c>
      <c r="E40" s="9">
        <f t="shared" si="1"/>
        <v>0</v>
      </c>
      <c r="F40" s="9">
        <f t="shared" si="1"/>
        <v>0</v>
      </c>
      <c r="G40" s="9">
        <f t="shared" si="1"/>
        <v>0</v>
      </c>
      <c r="H40" s="9">
        <f t="shared" si="1"/>
        <v>0</v>
      </c>
      <c r="I40" s="9">
        <f t="shared" si="1"/>
        <v>-6.3775510204096134E-4</v>
      </c>
      <c r="J40" s="9">
        <f t="shared" si="1"/>
        <v>6.1652281134415992E-4</v>
      </c>
      <c r="K40" s="9">
        <f t="shared" si="1"/>
        <v>0</v>
      </c>
      <c r="L40" s="9">
        <f t="shared" si="1"/>
        <v>0</v>
      </c>
      <c r="M40" s="9">
        <f t="shared" si="1"/>
        <v>0</v>
      </c>
      <c r="N40" s="9">
        <f t="shared" si="1"/>
        <v>0</v>
      </c>
      <c r="O40" s="9">
        <f t="shared" si="1"/>
        <v>0</v>
      </c>
      <c r="P40" s="9">
        <f t="shared" si="1"/>
        <v>0</v>
      </c>
      <c r="Q40" s="9">
        <f t="shared" si="1"/>
        <v>0</v>
      </c>
      <c r="R40" s="9">
        <f t="shared" si="1"/>
        <v>6.0790273556227549E-4</v>
      </c>
      <c r="S40" s="9">
        <f t="shared" si="1"/>
        <v>0</v>
      </c>
      <c r="T40" s="9">
        <f t="shared" ref="T40:AC40" si="5">IFERROR((T10-T9)/T9,0)</f>
        <v>6.12745098039355E-4</v>
      </c>
      <c r="U40" s="9">
        <f t="shared" si="5"/>
        <v>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6.3451776649742588E-4</v>
      </c>
      <c r="AA40" s="9">
        <f t="shared" si="5"/>
        <v>-6.1050061050074928E-4</v>
      </c>
      <c r="AB40" s="9">
        <f t="shared" si="5"/>
        <v>0</v>
      </c>
      <c r="AC40" s="9">
        <f t="shared" si="5"/>
        <v>0</v>
      </c>
    </row>
    <row r="41" spans="1:29" x14ac:dyDescent="0.35">
      <c r="A41" s="15" t="s">
        <v>30</v>
      </c>
      <c r="B41" s="15">
        <v>2021</v>
      </c>
      <c r="C41" s="15" t="s">
        <v>43</v>
      </c>
      <c r="D41" s="9">
        <f t="shared" si="1"/>
        <v>5.4570259208732022E-3</v>
      </c>
      <c r="E41" s="9">
        <f t="shared" si="1"/>
        <v>2.9411764705882075E-3</v>
      </c>
      <c r="F41" s="9">
        <f t="shared" si="1"/>
        <v>-9.2592592592593906E-3</v>
      </c>
      <c r="G41" s="9">
        <f t="shared" si="1"/>
        <v>1.8939393939392862E-3</v>
      </c>
      <c r="H41" s="9">
        <f t="shared" si="1"/>
        <v>1.3829787234042523E-2</v>
      </c>
      <c r="I41" s="9">
        <f t="shared" si="1"/>
        <v>-6.3816209317166563E-3</v>
      </c>
      <c r="J41" s="9">
        <f t="shared" si="1"/>
        <v>0.14171287738755389</v>
      </c>
      <c r="K41" s="9">
        <f t="shared" si="1"/>
        <v>6.7032297379646215E-3</v>
      </c>
      <c r="L41" s="9">
        <f t="shared" si="1"/>
        <v>1.8379281537176297E-2</v>
      </c>
      <c r="M41" s="9">
        <f t="shared" si="1"/>
        <v>2.9620853080568718E-3</v>
      </c>
      <c r="N41" s="9">
        <f t="shared" si="1"/>
        <v>3.0731407498463433E-3</v>
      </c>
      <c r="O41" s="9">
        <f t="shared" si="1"/>
        <v>4.6003450258768428E-3</v>
      </c>
      <c r="P41" s="9">
        <f t="shared" si="1"/>
        <v>2.2560975609756027E-2</v>
      </c>
      <c r="Q41" s="9">
        <f t="shared" si="1"/>
        <v>3.1233732431025212E-3</v>
      </c>
      <c r="R41" s="9">
        <f t="shared" si="1"/>
        <v>6.6828675577156405E-3</v>
      </c>
      <c r="S41" s="9">
        <f t="shared" si="1"/>
        <v>6.4391500321957498E-3</v>
      </c>
      <c r="T41" s="9">
        <f t="shared" ref="T41:AC41" si="6">IFERROR((T11-T10)/T10,0)</f>
        <v>6.1236987140232697E-3</v>
      </c>
      <c r="U41" s="9">
        <f t="shared" si="6"/>
        <v>9.2535471930906849E-3</v>
      </c>
      <c r="V41" s="9">
        <f t="shared" si="6"/>
        <v>9.8400984009839754E-3</v>
      </c>
      <c r="W41" s="9">
        <f t="shared" si="6"/>
        <v>5.7142857142857507E-3</v>
      </c>
      <c r="X41" s="9">
        <f t="shared" si="6"/>
        <v>4.1567695961994573E-3</v>
      </c>
      <c r="Y41" s="9">
        <f t="shared" si="6"/>
        <v>1.1038961038960965E-2</v>
      </c>
      <c r="Z41" s="9">
        <f t="shared" si="6"/>
        <v>5.7070386810399859E-3</v>
      </c>
      <c r="AA41" s="9">
        <f t="shared" si="6"/>
        <v>1.2217470983507458E-3</v>
      </c>
      <c r="AB41" s="9">
        <f t="shared" si="6"/>
        <v>5.0000000000000712E-3</v>
      </c>
      <c r="AC41" s="9">
        <f t="shared" si="6"/>
        <v>6.2500000000000003E-3</v>
      </c>
    </row>
    <row r="42" spans="1:29" x14ac:dyDescent="0.35">
      <c r="A42" s="15" t="s">
        <v>30</v>
      </c>
      <c r="B42" s="15">
        <v>2021</v>
      </c>
      <c r="C42" s="15" t="s">
        <v>45</v>
      </c>
      <c r="D42" s="9">
        <f t="shared" si="1"/>
        <v>5.4274084124829236E-3</v>
      </c>
      <c r="E42" s="9">
        <f t="shared" si="1"/>
        <v>-1.466275659824047E-2</v>
      </c>
      <c r="F42" s="9">
        <f t="shared" si="1"/>
        <v>1.0514018691588852E-2</v>
      </c>
      <c r="G42" s="9">
        <f t="shared" si="1"/>
        <v>3.7807183364840756E-3</v>
      </c>
      <c r="H42" s="9">
        <f t="shared" si="1"/>
        <v>-2.6232948583420779E-3</v>
      </c>
      <c r="I42" s="9">
        <f t="shared" si="1"/>
        <v>5.1380860629416276E-3</v>
      </c>
      <c r="J42" s="9">
        <f t="shared" si="1"/>
        <v>7.5013491635186058E-2</v>
      </c>
      <c r="K42" s="9">
        <f t="shared" si="1"/>
        <v>6.0532687651345491E-4</v>
      </c>
      <c r="L42" s="9">
        <f t="shared" si="1"/>
        <v>4.1017227235438884E-3</v>
      </c>
      <c r="M42" s="9">
        <f t="shared" si="1"/>
        <v>1.772002362669716E-3</v>
      </c>
      <c r="N42" s="9">
        <f t="shared" si="1"/>
        <v>3.0637254901960788E-3</v>
      </c>
      <c r="O42" s="9">
        <f t="shared" si="1"/>
        <v>4.5792787635947994E-3</v>
      </c>
      <c r="P42" s="9">
        <f t="shared" si="1"/>
        <v>1.1926058437686345E-2</v>
      </c>
      <c r="Q42" s="9">
        <f t="shared" si="1"/>
        <v>1.0378827192528131E-3</v>
      </c>
      <c r="R42" s="9">
        <f t="shared" si="1"/>
        <v>9.0525045262522634E-3</v>
      </c>
      <c r="S42" s="9">
        <f t="shared" si="1"/>
        <v>7.03774792066535E-3</v>
      </c>
      <c r="T42" s="9">
        <f t="shared" ref="T42:AC42" si="7">IFERROR((T12-T11)/T11,0)</f>
        <v>9.1296409007912346E-3</v>
      </c>
      <c r="U42" s="9">
        <f t="shared" si="7"/>
        <v>3.6674816625916523E-3</v>
      </c>
      <c r="V42" s="9">
        <f t="shared" si="7"/>
        <v>-1.8270401948841837E-3</v>
      </c>
      <c r="W42" s="9">
        <f t="shared" si="7"/>
        <v>5.6818181818182175E-3</v>
      </c>
      <c r="X42" s="9">
        <f t="shared" si="7"/>
        <v>4.730928444707341E-3</v>
      </c>
      <c r="Y42" s="9">
        <f t="shared" si="7"/>
        <v>-5.7803468208091026E-3</v>
      </c>
      <c r="Z42" s="9">
        <f t="shared" si="7"/>
        <v>7.5662042875158705E-3</v>
      </c>
      <c r="AA42" s="9">
        <f t="shared" si="7"/>
        <v>2.4405125076266362E-3</v>
      </c>
      <c r="AB42" s="9">
        <f t="shared" si="7"/>
        <v>8.7064676616914003E-3</v>
      </c>
      <c r="AC42" s="9">
        <f t="shared" si="7"/>
        <v>2.4844720496894762E-3</v>
      </c>
    </row>
    <row r="43" spans="1:29" x14ac:dyDescent="0.35">
      <c r="A43" s="15" t="s">
        <v>30</v>
      </c>
      <c r="B43" s="15">
        <v>2021</v>
      </c>
      <c r="C43" s="15" t="s">
        <v>46</v>
      </c>
      <c r="D43" s="9">
        <f t="shared" si="1"/>
        <v>3.3738191632928477E-3</v>
      </c>
      <c r="E43" s="9">
        <f t="shared" si="1"/>
        <v>-1.3888888888888805E-2</v>
      </c>
      <c r="F43" s="9">
        <f t="shared" si="1"/>
        <v>2.8323699421965352E-2</v>
      </c>
      <c r="G43" s="9">
        <f t="shared" si="1"/>
        <v>3.766478342749493E-3</v>
      </c>
      <c r="H43" s="9">
        <f t="shared" si="1"/>
        <v>-1.3150973172014729E-2</v>
      </c>
      <c r="I43" s="9">
        <f t="shared" si="1"/>
        <v>-1.0223642172523926E-2</v>
      </c>
      <c r="J43" s="9">
        <f t="shared" si="1"/>
        <v>-5.4718875502007921E-2</v>
      </c>
      <c r="K43" s="9">
        <f t="shared" si="1"/>
        <v>-5.4446460980036634E-3</v>
      </c>
      <c r="L43" s="9">
        <f t="shared" si="1"/>
        <v>-1.1437908496732072E-2</v>
      </c>
      <c r="M43" s="9">
        <f t="shared" si="1"/>
        <v>5.3066037735849392E-3</v>
      </c>
      <c r="N43" s="9">
        <f t="shared" si="1"/>
        <v>3.0543677458766036E-3</v>
      </c>
      <c r="O43" s="9">
        <f t="shared" si="1"/>
        <v>5.6980056980056983E-3</v>
      </c>
      <c r="P43" s="9">
        <f t="shared" si="1"/>
        <v>-8.8391278727165592E-3</v>
      </c>
      <c r="Q43" s="9">
        <f t="shared" si="1"/>
        <v>-2.592016588906169E-3</v>
      </c>
      <c r="R43" s="9">
        <f t="shared" si="1"/>
        <v>7.7751196172249487E-3</v>
      </c>
      <c r="S43" s="9">
        <f t="shared" si="1"/>
        <v>8.2592121982209849E-3</v>
      </c>
      <c r="T43" s="9">
        <f t="shared" ref="T43:AC43" si="8">IFERROR((T13-T12)/T12,0)</f>
        <v>7.2376357056694119E-3</v>
      </c>
      <c r="U43" s="9">
        <f t="shared" si="8"/>
        <v>-4.8721071863579964E-3</v>
      </c>
      <c r="V43" s="9">
        <f t="shared" si="8"/>
        <v>1.2202562538132314E-3</v>
      </c>
      <c r="W43" s="9">
        <f t="shared" si="8"/>
        <v>5.6497175141241507E-3</v>
      </c>
      <c r="X43" s="9">
        <f t="shared" si="8"/>
        <v>4.1200706297821578E-3</v>
      </c>
      <c r="Y43" s="9">
        <f t="shared" si="8"/>
        <v>5.8139534883719455E-3</v>
      </c>
      <c r="Z43" s="9">
        <f t="shared" si="8"/>
        <v>5.0062578222777399E-3</v>
      </c>
      <c r="AA43" s="9">
        <f t="shared" si="8"/>
        <v>6.0864272671938102E-4</v>
      </c>
      <c r="AB43" s="9">
        <f t="shared" si="8"/>
        <v>2.4660912453761141E-3</v>
      </c>
      <c r="AC43" s="9">
        <f t="shared" si="8"/>
        <v>3.7174721189590725E-3</v>
      </c>
    </row>
    <row r="44" spans="1:29" x14ac:dyDescent="0.35">
      <c r="A44" s="15" t="s">
        <v>30</v>
      </c>
      <c r="B44" s="15">
        <v>2022</v>
      </c>
      <c r="C44" s="15" t="s">
        <v>31</v>
      </c>
      <c r="D44" s="9">
        <f t="shared" si="1"/>
        <v>5.3799596503026998E-3</v>
      </c>
      <c r="E44" s="9">
        <f t="shared" si="1"/>
        <v>-5.0301810865202579E-4</v>
      </c>
      <c r="F44" s="9">
        <f t="shared" si="1"/>
        <v>5.0590219224283623E-3</v>
      </c>
      <c r="G44" s="9">
        <f t="shared" si="1"/>
        <v>3.7523452157598143E-3</v>
      </c>
      <c r="H44" s="9">
        <f t="shared" si="1"/>
        <v>-1.5458422174840116E-2</v>
      </c>
      <c r="I44" s="9">
        <f t="shared" si="1"/>
        <v>-7.7469335054875209E-3</v>
      </c>
      <c r="J44" s="9">
        <f t="shared" si="1"/>
        <v>-7.4349442379182146E-2</v>
      </c>
      <c r="K44" s="9">
        <f t="shared" si="1"/>
        <v>-3.0413625304136251E-3</v>
      </c>
      <c r="L44" s="9">
        <f t="shared" si="1"/>
        <v>-8.2644628099173556E-3</v>
      </c>
      <c r="M44" s="9">
        <f t="shared" si="1"/>
        <v>9.3841642228738673E-3</v>
      </c>
      <c r="N44" s="9">
        <f t="shared" si="1"/>
        <v>6.0901339829490101E-4</v>
      </c>
      <c r="O44" s="9">
        <f t="shared" si="1"/>
        <v>4.5325779036827843E-3</v>
      </c>
      <c r="P44" s="9">
        <f t="shared" si="1"/>
        <v>-1.070154577883462E-2</v>
      </c>
      <c r="Q44" s="9">
        <f t="shared" si="1"/>
        <v>-1.039501039501128E-3</v>
      </c>
      <c r="R44" s="9">
        <f t="shared" si="1"/>
        <v>8.3086053412463248E-3</v>
      </c>
      <c r="S44" s="9">
        <f t="shared" si="1"/>
        <v>1.2602394454946441E-2</v>
      </c>
      <c r="T44" s="9">
        <f t="shared" ref="T44:AC44" si="9">IFERROR((T14-T13)/T13,0)</f>
        <v>8.9820359281437123E-3</v>
      </c>
      <c r="U44" s="9">
        <f t="shared" si="9"/>
        <v>6.7319461444308093E-3</v>
      </c>
      <c r="V44" s="9">
        <f t="shared" si="9"/>
        <v>6.0938452163311586E-4</v>
      </c>
      <c r="W44" s="9">
        <f t="shared" si="9"/>
        <v>5.6179775280899239E-3</v>
      </c>
      <c r="X44" s="9">
        <f t="shared" si="9"/>
        <v>4.6893317702228097E-3</v>
      </c>
      <c r="Y44" s="9">
        <f t="shared" si="9"/>
        <v>5.1380860629416276E-3</v>
      </c>
      <c r="Z44" s="9">
        <f t="shared" si="9"/>
        <v>3.735990037359865E-3</v>
      </c>
      <c r="AA44" s="9">
        <f t="shared" si="9"/>
        <v>1.8248175182480715E-3</v>
      </c>
      <c r="AB44" s="9">
        <f t="shared" si="9"/>
        <v>2.4600246002460377E-3</v>
      </c>
      <c r="AC44" s="9">
        <f t="shared" si="9"/>
        <v>4.3209876543209179E-3</v>
      </c>
    </row>
    <row r="45" spans="1:29" x14ac:dyDescent="0.35">
      <c r="A45" s="15" t="s">
        <v>30</v>
      </c>
      <c r="B45" s="15">
        <v>2022</v>
      </c>
      <c r="C45" s="15" t="s">
        <v>35</v>
      </c>
      <c r="D45" s="9">
        <f t="shared" si="1"/>
        <v>3.3444816053511705E-3</v>
      </c>
      <c r="E45" s="9">
        <f t="shared" si="1"/>
        <v>9.5621540010065714E-3</v>
      </c>
      <c r="F45" s="9">
        <f t="shared" si="1"/>
        <v>-1.6778523489932886E-2</v>
      </c>
      <c r="G45" s="9">
        <f t="shared" si="1"/>
        <v>1.2461059190030444E-3</v>
      </c>
      <c r="H45" s="9">
        <f t="shared" si="1"/>
        <v>1.0828370330266219E-3</v>
      </c>
      <c r="I45" s="9">
        <f t="shared" si="1"/>
        <v>0</v>
      </c>
      <c r="J45" s="9">
        <f t="shared" si="1"/>
        <v>-2.6391279403327726E-2</v>
      </c>
      <c r="K45" s="9">
        <f t="shared" si="1"/>
        <v>-1.2202562538134048E-3</v>
      </c>
      <c r="L45" s="9">
        <f t="shared" si="1"/>
        <v>-9.1666666666666199E-3</v>
      </c>
      <c r="M45" s="9">
        <f t="shared" si="1"/>
        <v>1.2783265543288885E-2</v>
      </c>
      <c r="N45" s="9">
        <f t="shared" si="1"/>
        <v>2.4345709068775241E-3</v>
      </c>
      <c r="O45" s="9">
        <f t="shared" si="1"/>
        <v>3.948110547095254E-3</v>
      </c>
      <c r="P45" s="9">
        <f t="shared" si="1"/>
        <v>-1.2019230769231793E-3</v>
      </c>
      <c r="Q45" s="9">
        <f t="shared" si="1"/>
        <v>3.1217481789803476E-3</v>
      </c>
      <c r="R45" s="9">
        <f t="shared" si="1"/>
        <v>5.297233666862894E-3</v>
      </c>
      <c r="S45" s="9">
        <f t="shared" si="1"/>
        <v>1.0578718108276397E-2</v>
      </c>
      <c r="T45" s="9">
        <f t="shared" ref="T45:AC45" si="10">IFERROR((T15-T14)/T14,0)</f>
        <v>6.5281899109791951E-3</v>
      </c>
      <c r="U45" s="9">
        <f t="shared" si="10"/>
        <v>6.0790273556231003E-3</v>
      </c>
      <c r="V45" s="9">
        <f t="shared" si="10"/>
        <v>9.1352009744214372E-3</v>
      </c>
      <c r="W45" s="9">
        <f t="shared" si="10"/>
        <v>4.3451272501552896E-3</v>
      </c>
      <c r="X45" s="9">
        <f t="shared" si="10"/>
        <v>4.6674445740955833E-3</v>
      </c>
      <c r="Y45" s="9">
        <f t="shared" si="10"/>
        <v>2.5559105431310269E-3</v>
      </c>
      <c r="Z45" s="9">
        <f t="shared" si="10"/>
        <v>5.5831265508685217E-3</v>
      </c>
      <c r="AA45" s="9">
        <f t="shared" si="10"/>
        <v>4.2501517911355015E-3</v>
      </c>
      <c r="AB45" s="9">
        <f t="shared" si="10"/>
        <v>8.5889570552147593E-3</v>
      </c>
      <c r="AC45" s="9">
        <f t="shared" si="10"/>
        <v>4.9170251997542186E-3</v>
      </c>
    </row>
    <row r="46" spans="1:29" x14ac:dyDescent="0.35">
      <c r="A46" s="15" t="s">
        <v>30</v>
      </c>
      <c r="B46" s="15">
        <v>2022</v>
      </c>
      <c r="C46" s="15" t="s">
        <v>36</v>
      </c>
      <c r="D46" s="9">
        <f t="shared" si="1"/>
        <v>8.6666666666667426E-3</v>
      </c>
      <c r="E46" s="9">
        <f t="shared" si="1"/>
        <v>5.0348953140578238E-2</v>
      </c>
      <c r="F46" s="9">
        <f t="shared" si="1"/>
        <v>-4.5506257110352673E-2</v>
      </c>
      <c r="G46" s="9">
        <f t="shared" si="1"/>
        <v>9.3341630367143758E-3</v>
      </c>
      <c r="H46" s="9">
        <f t="shared" si="1"/>
        <v>5.2460789616008592E-2</v>
      </c>
      <c r="I46" s="9">
        <f t="shared" si="1"/>
        <v>2.5374105400130163E-2</v>
      </c>
      <c r="J46" s="9">
        <f t="shared" si="1"/>
        <v>-1.6499705362404145E-2</v>
      </c>
      <c r="K46" s="9">
        <f t="shared" si="1"/>
        <v>1.2217470983507458E-3</v>
      </c>
      <c r="L46" s="9">
        <f t="shared" si="1"/>
        <v>-8.4104289318762419E-4</v>
      </c>
      <c r="M46" s="9">
        <f t="shared" si="1"/>
        <v>1.7785427423981606E-2</v>
      </c>
      <c r="N46" s="9">
        <f t="shared" si="1"/>
        <v>3.6429872495447649E-3</v>
      </c>
      <c r="O46" s="9">
        <f t="shared" si="1"/>
        <v>7.3033707865169176E-3</v>
      </c>
      <c r="P46" s="9">
        <f t="shared" si="1"/>
        <v>1.3237063778580128E-2</v>
      </c>
      <c r="Q46" s="9">
        <f t="shared" si="1"/>
        <v>4.6680497925310023E-3</v>
      </c>
      <c r="R46" s="9">
        <f t="shared" si="1"/>
        <v>7.6112412177984949E-3</v>
      </c>
      <c r="S46" s="9">
        <f t="shared" si="1"/>
        <v>1.354679802955658E-2</v>
      </c>
      <c r="T46" s="9">
        <f t="shared" ref="T46:AC46" si="11">IFERROR((T16-T15)/T15,0)</f>
        <v>8.8443396226415092E-3</v>
      </c>
      <c r="U46" s="9">
        <f t="shared" si="11"/>
        <v>-1.2084592145014418E-3</v>
      </c>
      <c r="V46" s="9">
        <f t="shared" si="11"/>
        <v>9.0525045262522634E-3</v>
      </c>
      <c r="W46" s="9">
        <f t="shared" si="11"/>
        <v>6.180469715698393E-3</v>
      </c>
      <c r="X46" s="9">
        <f t="shared" si="11"/>
        <v>4.6457607433217848E-3</v>
      </c>
      <c r="Y46" s="9">
        <f t="shared" si="11"/>
        <v>6.3734862970044612E-3</v>
      </c>
      <c r="Z46" s="9">
        <f t="shared" si="11"/>
        <v>7.4028377544726534E-3</v>
      </c>
      <c r="AA46" s="9">
        <f t="shared" si="11"/>
        <v>3.6275695284159267E-3</v>
      </c>
      <c r="AB46" s="9">
        <f t="shared" si="11"/>
        <v>1.7031630170316198E-2</v>
      </c>
      <c r="AC46" s="9">
        <f t="shared" si="11"/>
        <v>6.7278287461773351E-3</v>
      </c>
    </row>
    <row r="47" spans="1:29" x14ac:dyDescent="0.35">
      <c r="A47" s="15" t="s">
        <v>30</v>
      </c>
      <c r="B47" s="15">
        <v>2022</v>
      </c>
      <c r="C47" s="15" t="s">
        <v>37</v>
      </c>
      <c r="D47" s="9">
        <f t="shared" si="1"/>
        <v>1.0575016523463279E-2</v>
      </c>
      <c r="E47" s="9">
        <f t="shared" si="1"/>
        <v>5.2206929283342323E-3</v>
      </c>
      <c r="F47" s="9">
        <f t="shared" si="1"/>
        <v>-1.9666269368295658E-2</v>
      </c>
      <c r="G47" s="9">
        <f t="shared" si="1"/>
        <v>1.0480887792848441E-2</v>
      </c>
      <c r="H47" s="9">
        <f t="shared" si="1"/>
        <v>2.5179856115107944E-2</v>
      </c>
      <c r="I47" s="9">
        <f t="shared" si="1"/>
        <v>9.5177664974619297E-2</v>
      </c>
      <c r="J47" s="9">
        <f t="shared" si="1"/>
        <v>-4.1941282204914143E-3</v>
      </c>
      <c r="K47" s="9">
        <f t="shared" si="1"/>
        <v>4.8810250152530989E-3</v>
      </c>
      <c r="L47" s="9">
        <f t="shared" si="1"/>
        <v>1.6835016835017075E-3</v>
      </c>
      <c r="M47" s="9">
        <f t="shared" si="1"/>
        <v>2.1984216459977484E-2</v>
      </c>
      <c r="N47" s="9">
        <f t="shared" si="1"/>
        <v>5.4446460980034916E-3</v>
      </c>
      <c r="O47" s="9">
        <f t="shared" si="1"/>
        <v>8.9235917456776028E-3</v>
      </c>
      <c r="P47" s="9">
        <f t="shared" si="1"/>
        <v>1.4251781472684119E-2</v>
      </c>
      <c r="Q47" s="9">
        <f t="shared" si="1"/>
        <v>1.0325245224574965E-3</v>
      </c>
      <c r="R47" s="9">
        <f t="shared" si="1"/>
        <v>1.0459035444509072E-2</v>
      </c>
      <c r="S47" s="9">
        <f t="shared" si="1"/>
        <v>1.1543134872418018E-2</v>
      </c>
      <c r="T47" s="9">
        <f t="shared" ref="T47:AC47" si="12">IFERROR((T17-T16)/T16,0)</f>
        <v>9.9357101110462715E-3</v>
      </c>
      <c r="U47" s="9">
        <f t="shared" si="12"/>
        <v>1.0284331518451231E-2</v>
      </c>
      <c r="V47" s="9">
        <f t="shared" si="12"/>
        <v>2.9904306220095697E-2</v>
      </c>
      <c r="W47" s="9">
        <f t="shared" si="12"/>
        <v>7.371007371007301E-3</v>
      </c>
      <c r="X47" s="9">
        <f t="shared" si="12"/>
        <v>5.7803468208092483E-3</v>
      </c>
      <c r="Y47" s="9">
        <f t="shared" si="12"/>
        <v>2.9765674477517344E-2</v>
      </c>
      <c r="Z47" s="9">
        <f t="shared" si="12"/>
        <v>6.7360685854255618E-3</v>
      </c>
      <c r="AA47" s="9">
        <f t="shared" si="12"/>
        <v>5.4216867469879864E-3</v>
      </c>
      <c r="AB47" s="9">
        <f t="shared" si="12"/>
        <v>9.5693779904307587E-3</v>
      </c>
      <c r="AC47" s="9">
        <f t="shared" si="12"/>
        <v>1.3365735115431453E-2</v>
      </c>
    </row>
    <row r="48" spans="1:29" x14ac:dyDescent="0.35">
      <c r="A48" s="15" t="s">
        <v>30</v>
      </c>
      <c r="B48" s="15">
        <v>2022</v>
      </c>
      <c r="C48" s="15" t="s">
        <v>38</v>
      </c>
      <c r="D48" s="9">
        <f t="shared" si="1"/>
        <v>7.848266841072522E-3</v>
      </c>
      <c r="E48" s="9">
        <f t="shared" si="1"/>
        <v>2.4551463644948011E-2</v>
      </c>
      <c r="F48" s="9">
        <f t="shared" si="1"/>
        <v>-1.2765957446808475E-2</v>
      </c>
      <c r="G48" s="9">
        <f t="shared" si="1"/>
        <v>6.1012812690665035E-3</v>
      </c>
      <c r="H48" s="9">
        <f t="shared" si="1"/>
        <v>1.4536340852130354E-2</v>
      </c>
      <c r="I48" s="9">
        <f t="shared" si="1"/>
        <v>-9.2699884125144513E-3</v>
      </c>
      <c r="J48" s="9">
        <f t="shared" si="1"/>
        <v>5.2346570397112019E-2</v>
      </c>
      <c r="K48" s="9">
        <f t="shared" si="1"/>
        <v>0</v>
      </c>
      <c r="L48" s="9">
        <f t="shared" si="1"/>
        <v>5.8823529411764948E-3</v>
      </c>
      <c r="M48" s="9">
        <f t="shared" si="1"/>
        <v>1.9856591285162681E-2</v>
      </c>
      <c r="N48" s="9">
        <f t="shared" si="1"/>
        <v>5.4151624548736807E-3</v>
      </c>
      <c r="O48" s="9">
        <f t="shared" si="1"/>
        <v>8.8446655610834399E-3</v>
      </c>
      <c r="P48" s="9">
        <f t="shared" si="1"/>
        <v>1.4637002341920374E-2</v>
      </c>
      <c r="Q48" s="9">
        <f t="shared" si="1"/>
        <v>1.0314595152139691E-3</v>
      </c>
      <c r="R48" s="9">
        <f t="shared" si="1"/>
        <v>9.7757331799884339E-3</v>
      </c>
      <c r="S48" s="9">
        <f t="shared" si="1"/>
        <v>1.1411411411411446E-2</v>
      </c>
      <c r="T48" s="9">
        <f t="shared" ref="T48:AC48" si="13">IFERROR((T18-T17)/T17,0)</f>
        <v>1.0416666666666567E-2</v>
      </c>
      <c r="U48" s="9">
        <f t="shared" si="13"/>
        <v>2.9940119760479044E-3</v>
      </c>
      <c r="V48" s="9">
        <f t="shared" si="13"/>
        <v>1.3937282229965191E-2</v>
      </c>
      <c r="W48" s="9">
        <f t="shared" si="13"/>
        <v>7.3170731707316384E-3</v>
      </c>
      <c r="X48" s="9">
        <f t="shared" si="13"/>
        <v>4.5977011494253523E-3</v>
      </c>
      <c r="Y48" s="9">
        <f t="shared" si="13"/>
        <v>2.4600246002460377E-3</v>
      </c>
      <c r="Z48" s="9">
        <f t="shared" si="13"/>
        <v>4.257907542579006E-3</v>
      </c>
      <c r="AA48" s="9">
        <f t="shared" si="13"/>
        <v>5.9916117435590173E-3</v>
      </c>
      <c r="AB48" s="9">
        <f t="shared" si="13"/>
        <v>-2.3696682464455312E-3</v>
      </c>
      <c r="AC48" s="9">
        <f t="shared" si="13"/>
        <v>4.1966426858512504E-3</v>
      </c>
    </row>
    <row r="49" spans="1:29" x14ac:dyDescent="0.35">
      <c r="A49" s="15" t="s">
        <v>30</v>
      </c>
      <c r="B49" s="15">
        <v>2022</v>
      </c>
      <c r="C49" s="15" t="s">
        <v>39</v>
      </c>
      <c r="D49" s="9">
        <f t="shared" si="1"/>
        <v>5.8403634003893947E-3</v>
      </c>
      <c r="E49" s="9">
        <f t="shared" si="1"/>
        <v>1.1059907834101408E-2</v>
      </c>
      <c r="F49" s="9">
        <f t="shared" si="1"/>
        <v>5.1724137931034517E-2</v>
      </c>
      <c r="G49" s="9">
        <f t="shared" si="1"/>
        <v>5.4578532443905741E-3</v>
      </c>
      <c r="H49" s="9">
        <f t="shared" si="1"/>
        <v>-7.411067193675889E-3</v>
      </c>
      <c r="I49" s="9">
        <f t="shared" si="1"/>
        <v>-7.6023391812866164E-3</v>
      </c>
      <c r="J49" s="9">
        <f t="shared" si="1"/>
        <v>4.230989136649517E-2</v>
      </c>
      <c r="K49" s="9">
        <f t="shared" si="1"/>
        <v>-2.4286581663629466E-3</v>
      </c>
      <c r="L49" s="9">
        <f t="shared" si="1"/>
        <v>1.6708437761069578E-3</v>
      </c>
      <c r="M49" s="9">
        <f t="shared" si="1"/>
        <v>1.1898323418063756E-2</v>
      </c>
      <c r="N49" s="9">
        <f t="shared" si="1"/>
        <v>4.7875523638540481E-3</v>
      </c>
      <c r="O49" s="9">
        <f t="shared" si="1"/>
        <v>7.6712328767123599E-3</v>
      </c>
      <c r="P49" s="9">
        <f t="shared" si="1"/>
        <v>9.2325447201384546E-3</v>
      </c>
      <c r="Q49" s="9">
        <f t="shared" si="1"/>
        <v>1.0303967027306391E-3</v>
      </c>
      <c r="R49" s="9">
        <f t="shared" si="1"/>
        <v>8.5421412300683373E-3</v>
      </c>
      <c r="S49" s="9">
        <f t="shared" si="1"/>
        <v>8.9073634204275536E-3</v>
      </c>
      <c r="T49" s="9">
        <f t="shared" ref="T49:AC49" si="14">IFERROR((T19-T18)/T18,0)</f>
        <v>8.0183276059565042E-3</v>
      </c>
      <c r="U49" s="9">
        <f t="shared" si="14"/>
        <v>-4.1791044776118723E-3</v>
      </c>
      <c r="V49" s="9">
        <f t="shared" si="14"/>
        <v>8.0183276059565042E-3</v>
      </c>
      <c r="W49" s="9">
        <f t="shared" si="14"/>
        <v>7.2639225181599099E-3</v>
      </c>
      <c r="X49" s="9">
        <f t="shared" si="14"/>
        <v>3.4324942791761686E-3</v>
      </c>
      <c r="Y49" s="9">
        <f t="shared" si="14"/>
        <v>-1.1656441717791446E-2</v>
      </c>
      <c r="Z49" s="9">
        <f t="shared" si="14"/>
        <v>4.2398546335555244E-3</v>
      </c>
      <c r="AA49" s="9">
        <f t="shared" si="14"/>
        <v>6.5515187611673272E-3</v>
      </c>
      <c r="AB49" s="9">
        <f t="shared" si="14"/>
        <v>5.9382422802850355E-3</v>
      </c>
      <c r="AC49" s="9">
        <f t="shared" si="14"/>
        <v>0</v>
      </c>
    </row>
    <row r="50" spans="1:29" x14ac:dyDescent="0.35">
      <c r="A50" s="15" t="s">
        <v>30</v>
      </c>
      <c r="B50" s="15">
        <v>2022</v>
      </c>
      <c r="C50" s="15" t="s">
        <v>40</v>
      </c>
      <c r="D50" s="9">
        <f t="shared" si="1"/>
        <v>9.6774193548387101E-3</v>
      </c>
      <c r="E50" s="9">
        <f t="shared" si="1"/>
        <v>-2.9170464904284436E-2</v>
      </c>
      <c r="F50" s="9">
        <f t="shared" si="1"/>
        <v>2.5761124121779725E-2</v>
      </c>
      <c r="G50" s="9">
        <f t="shared" si="1"/>
        <v>4.8250904704462173E-3</v>
      </c>
      <c r="H50" s="9">
        <f t="shared" si="1"/>
        <v>-2.5385764061722219E-2</v>
      </c>
      <c r="I50" s="9">
        <f t="shared" si="1"/>
        <v>2.6517383618149679E-2</v>
      </c>
      <c r="J50" s="9">
        <f t="shared" si="1"/>
        <v>-1.0970927043336097E-3</v>
      </c>
      <c r="K50" s="9">
        <f t="shared" si="1"/>
        <v>0</v>
      </c>
      <c r="L50" s="9">
        <f t="shared" si="1"/>
        <v>8.3402835696408937E-4</v>
      </c>
      <c r="M50" s="9">
        <f t="shared" si="1"/>
        <v>1.5499732763228252E-2</v>
      </c>
      <c r="N50" s="9">
        <f t="shared" si="1"/>
        <v>2.9779630732578916E-3</v>
      </c>
      <c r="O50" s="9">
        <f t="shared" si="1"/>
        <v>7.0690592713430287E-3</v>
      </c>
      <c r="P50" s="9">
        <f t="shared" si="1"/>
        <v>5.7175528873638828E-4</v>
      </c>
      <c r="Q50" s="9">
        <f t="shared" si="1"/>
        <v>1.5440041173442251E-3</v>
      </c>
      <c r="R50" s="9">
        <f t="shared" si="1"/>
        <v>6.7758328627894812E-3</v>
      </c>
      <c r="S50" s="9">
        <f t="shared" si="1"/>
        <v>8.2401412595644822E-3</v>
      </c>
      <c r="T50" s="9">
        <f t="shared" ref="T50:AC50" si="15">IFERROR((T20-T19)/T19,0)</f>
        <v>7.3863636363637013E-3</v>
      </c>
      <c r="U50" s="9">
        <f t="shared" si="15"/>
        <v>5.9952038369304557E-3</v>
      </c>
      <c r="V50" s="9">
        <f t="shared" si="15"/>
        <v>2.0454545454545423E-2</v>
      </c>
      <c r="W50" s="9">
        <f t="shared" si="15"/>
        <v>6.0096153846153841E-3</v>
      </c>
      <c r="X50" s="9">
        <f t="shared" si="15"/>
        <v>3.9908779931584299E-3</v>
      </c>
      <c r="Y50" s="9">
        <f t="shared" si="15"/>
        <v>3.1036623215394167E-3</v>
      </c>
      <c r="Z50" s="9">
        <f t="shared" si="15"/>
        <v>3.0156815440289505E-3</v>
      </c>
      <c r="AA50" s="9">
        <f t="shared" si="15"/>
        <v>1.4201183431952697E-2</v>
      </c>
      <c r="AB50" s="9">
        <f t="shared" si="15"/>
        <v>1.7709563164107611E-3</v>
      </c>
      <c r="AC50" s="9">
        <f t="shared" si="15"/>
        <v>5.3731343283582433E-3</v>
      </c>
    </row>
    <row r="51" spans="1:29" x14ac:dyDescent="0.35">
      <c r="A51" s="15" t="s">
        <v>30</v>
      </c>
      <c r="B51" s="15">
        <v>2022</v>
      </c>
      <c r="C51" s="15" t="s">
        <v>41</v>
      </c>
      <c r="D51" s="9">
        <f t="shared" si="1"/>
        <v>2.4281150159744483E-2</v>
      </c>
      <c r="E51" s="9">
        <f t="shared" si="1"/>
        <v>-3.0516431924882629E-2</v>
      </c>
      <c r="F51" s="9">
        <f t="shared" si="1"/>
        <v>-3.4246575342465758E-2</v>
      </c>
      <c r="G51" s="9">
        <f t="shared" si="1"/>
        <v>9.00360144057623E-3</v>
      </c>
      <c r="H51" s="9">
        <f t="shared" si="1"/>
        <v>-1.7364657814096043E-2</v>
      </c>
      <c r="I51" s="9">
        <f t="shared" si="1"/>
        <v>-7.4626865671640818E-3</v>
      </c>
      <c r="J51" s="9">
        <f t="shared" si="1"/>
        <v>2.5260845689181737E-2</v>
      </c>
      <c r="K51" s="9">
        <f t="shared" si="1"/>
        <v>1.7650639074862917E-2</v>
      </c>
      <c r="L51" s="9">
        <f t="shared" si="1"/>
        <v>7.5000000000000474E-3</v>
      </c>
      <c r="M51" s="9">
        <f t="shared" si="1"/>
        <v>1.8947368421052602E-2</v>
      </c>
      <c r="N51" s="9">
        <f t="shared" si="1"/>
        <v>2.3752969121140478E-3</v>
      </c>
      <c r="O51" s="9">
        <f t="shared" si="1"/>
        <v>5.9395248380130824E-3</v>
      </c>
      <c r="P51" s="9">
        <f t="shared" si="1"/>
        <v>7.4285714285714935E-3</v>
      </c>
      <c r="Q51" s="9">
        <f t="shared" si="1"/>
        <v>2.0554984583761853E-3</v>
      </c>
      <c r="R51" s="9">
        <f t="shared" si="1"/>
        <v>6.7302299495232108E-3</v>
      </c>
      <c r="S51" s="9">
        <f t="shared" si="1"/>
        <v>8.1727962638644316E-3</v>
      </c>
      <c r="T51" s="9">
        <f t="shared" ref="T51:AC51" si="16">IFERROR((T21-T20)/T20,0)</f>
        <v>6.7681895093061962E-3</v>
      </c>
      <c r="U51" s="9">
        <f t="shared" si="16"/>
        <v>7.1513706793801465E-3</v>
      </c>
      <c r="V51" s="9">
        <f t="shared" si="16"/>
        <v>-4.4543429844097048E-3</v>
      </c>
      <c r="W51" s="9">
        <f t="shared" si="16"/>
        <v>6.571087216248472E-3</v>
      </c>
      <c r="X51" s="9">
        <f t="shared" si="16"/>
        <v>3.9750141964793699E-3</v>
      </c>
      <c r="Y51" s="9">
        <f t="shared" si="16"/>
        <v>1.8564356435644268E-3</v>
      </c>
      <c r="Z51" s="9">
        <f t="shared" si="16"/>
        <v>3.6079374624172836E-3</v>
      </c>
      <c r="AA51" s="9">
        <f t="shared" si="16"/>
        <v>5.2508751458576761E-3</v>
      </c>
      <c r="AB51" s="9">
        <f t="shared" si="16"/>
        <v>8.8391278727165592E-3</v>
      </c>
      <c r="AC51" s="9">
        <f t="shared" si="16"/>
        <v>4.1567695961994573E-3</v>
      </c>
    </row>
    <row r="52" spans="1:29" x14ac:dyDescent="0.35">
      <c r="A52" s="15" t="s">
        <v>30</v>
      </c>
      <c r="B52" s="15">
        <v>2022</v>
      </c>
      <c r="C52" s="15" t="s">
        <v>42</v>
      </c>
      <c r="D52" s="9">
        <f t="shared" si="1"/>
        <v>1.9962570180910719E-2</v>
      </c>
      <c r="E52" s="9">
        <f t="shared" si="1"/>
        <v>1.3075060532687597E-2</v>
      </c>
      <c r="F52" s="9">
        <f t="shared" si="1"/>
        <v>2.9550827423167852E-3</v>
      </c>
      <c r="G52" s="9">
        <f t="shared" si="1"/>
        <v>9.5181439619273899E-3</v>
      </c>
      <c r="H52" s="9">
        <f t="shared" si="1"/>
        <v>-1.9230769230769319E-2</v>
      </c>
      <c r="I52" s="9">
        <f t="shared" si="1"/>
        <v>-4.1642567958357531E-2</v>
      </c>
      <c r="J52" s="9">
        <f t="shared" si="1"/>
        <v>2.7316550615961558E-2</v>
      </c>
      <c r="K52" s="9">
        <f t="shared" si="1"/>
        <v>1.1363636363636399E-2</v>
      </c>
      <c r="L52" s="9">
        <f t="shared" si="1"/>
        <v>5.7899090157153728E-3</v>
      </c>
      <c r="M52" s="9">
        <f t="shared" si="1"/>
        <v>1.9111570247933973E-2</v>
      </c>
      <c r="N52" s="9">
        <f t="shared" si="1"/>
        <v>3.5545023696682125E-3</v>
      </c>
      <c r="O52" s="9">
        <f t="shared" si="1"/>
        <v>5.9044551798174676E-3</v>
      </c>
      <c r="P52" s="9">
        <f t="shared" si="1"/>
        <v>8.5082246171298923E-3</v>
      </c>
      <c r="Q52" s="9">
        <f t="shared" si="1"/>
        <v>4.6153846153846444E-3</v>
      </c>
      <c r="R52" s="9">
        <f t="shared" si="1"/>
        <v>7.7994428969359649E-3</v>
      </c>
      <c r="S52" s="9">
        <f t="shared" ref="S52:AC52" si="17">IFERROR((S22-S21)/S21,0)</f>
        <v>9.2646207295890154E-3</v>
      </c>
      <c r="T52" s="9">
        <f t="shared" si="17"/>
        <v>7.8431372549019919E-3</v>
      </c>
      <c r="U52" s="9">
        <f t="shared" si="17"/>
        <v>2.9585798816568047E-3</v>
      </c>
      <c r="V52" s="9">
        <f t="shared" si="17"/>
        <v>3.9149888143176093E-3</v>
      </c>
      <c r="W52" s="9">
        <f t="shared" si="17"/>
        <v>5.9347181008902079E-3</v>
      </c>
      <c r="X52" s="9">
        <f t="shared" si="17"/>
        <v>5.6561085972850677E-3</v>
      </c>
      <c r="Y52" s="9">
        <f t="shared" si="17"/>
        <v>2.470660901791264E-3</v>
      </c>
      <c r="Z52" s="9">
        <f t="shared" si="17"/>
        <v>4.1941282204912443E-3</v>
      </c>
      <c r="AA52" s="9">
        <f t="shared" si="17"/>
        <v>4.6430644225187636E-3</v>
      </c>
      <c r="AB52" s="9">
        <f t="shared" si="17"/>
        <v>-1.7523364485980313E-3</v>
      </c>
      <c r="AC52" s="9">
        <f t="shared" si="17"/>
        <v>3.548196333530422E-3</v>
      </c>
    </row>
    <row r="53" spans="1:29" x14ac:dyDescent="0.35">
      <c r="A53" s="15" t="s">
        <v>30</v>
      </c>
      <c r="B53" s="15">
        <v>2022</v>
      </c>
      <c r="C53" s="15" t="s">
        <v>43</v>
      </c>
      <c r="D53" s="9">
        <f t="shared" ref="D53:AC60" si="18">IFERROR((D23-D22)/D22,0)</f>
        <v>1.0397553516819502E-2</v>
      </c>
      <c r="E53" s="9">
        <f t="shared" si="18"/>
        <v>8.1261950286807706E-3</v>
      </c>
      <c r="F53" s="9">
        <f t="shared" si="18"/>
        <v>7.0713022981733478E-3</v>
      </c>
      <c r="G53" s="9">
        <f t="shared" si="18"/>
        <v>7.0713022981733478E-3</v>
      </c>
      <c r="H53" s="9">
        <f t="shared" si="18"/>
        <v>-1.1658717541070422E-2</v>
      </c>
      <c r="I53" s="9">
        <f t="shared" si="18"/>
        <v>-1.1466505733252729E-2</v>
      </c>
      <c r="J53" s="9">
        <f t="shared" si="18"/>
        <v>4.118873826903012E-2</v>
      </c>
      <c r="K53" s="9">
        <f t="shared" si="18"/>
        <v>4.1395623891189656E-3</v>
      </c>
      <c r="L53" s="9">
        <f t="shared" si="18"/>
        <v>2.4671052631579883E-3</v>
      </c>
      <c r="M53" s="9">
        <f t="shared" si="18"/>
        <v>1.3177901672579798E-2</v>
      </c>
      <c r="N53" s="9">
        <f t="shared" si="18"/>
        <v>2.9515938606847697E-3</v>
      </c>
      <c r="O53" s="9">
        <f t="shared" si="18"/>
        <v>4.8025613660619302E-3</v>
      </c>
      <c r="P53" s="9">
        <f t="shared" si="18"/>
        <v>1.0123734533183255E-2</v>
      </c>
      <c r="Q53" s="9">
        <f t="shared" si="18"/>
        <v>2.0418580908627142E-3</v>
      </c>
      <c r="R53" s="9">
        <f t="shared" si="18"/>
        <v>5.5279159756771697E-3</v>
      </c>
      <c r="S53" s="9">
        <f t="shared" si="18"/>
        <v>5.737234652897303E-3</v>
      </c>
      <c r="T53" s="9">
        <f t="shared" si="18"/>
        <v>6.1145080600333197E-3</v>
      </c>
      <c r="U53" s="9">
        <f t="shared" si="18"/>
        <v>1.0029498525073679E-2</v>
      </c>
      <c r="V53" s="9">
        <f t="shared" si="18"/>
        <v>5.5710306406685237E-3</v>
      </c>
      <c r="W53" s="9">
        <f t="shared" si="18"/>
        <v>5.30973451327437E-3</v>
      </c>
      <c r="X53" s="9">
        <f t="shared" si="18"/>
        <v>5.0618672665915477E-3</v>
      </c>
      <c r="Y53" s="9">
        <f t="shared" si="18"/>
        <v>3.6968576709796321E-3</v>
      </c>
      <c r="Z53" s="9">
        <f t="shared" si="18"/>
        <v>3.579952267303069E-3</v>
      </c>
      <c r="AA53" s="9">
        <f t="shared" si="18"/>
        <v>1.7331022530329948E-3</v>
      </c>
      <c r="AB53" s="9">
        <f t="shared" si="18"/>
        <v>7.021650087770559E-3</v>
      </c>
      <c r="AC53" s="9">
        <f t="shared" si="18"/>
        <v>4.7142015321155655E-3</v>
      </c>
    </row>
    <row r="54" spans="1:29" x14ac:dyDescent="0.35">
      <c r="A54" s="15" t="s">
        <v>30</v>
      </c>
      <c r="B54" s="15">
        <v>2022</v>
      </c>
      <c r="C54" s="15" t="s">
        <v>45</v>
      </c>
      <c r="D54" s="9">
        <f t="shared" si="18"/>
        <v>1.3317191283293082E-2</v>
      </c>
      <c r="E54" s="9">
        <f t="shared" si="18"/>
        <v>-7.1123755334281651E-3</v>
      </c>
      <c r="F54" s="9">
        <f t="shared" si="18"/>
        <v>6.1439438267992974E-2</v>
      </c>
      <c r="G54" s="9">
        <f t="shared" si="18"/>
        <v>8.1919251023990971E-3</v>
      </c>
      <c r="H54" s="9">
        <f t="shared" si="18"/>
        <v>1.286863270777483E-2</v>
      </c>
      <c r="I54" s="9">
        <f t="shared" si="18"/>
        <v>-1.8925518925519063E-2</v>
      </c>
      <c r="J54" s="9">
        <f t="shared" si="18"/>
        <v>-8.3124687030545791E-2</v>
      </c>
      <c r="K54" s="9">
        <f t="shared" si="18"/>
        <v>4.1224970553591792E-3</v>
      </c>
      <c r="L54" s="9">
        <f t="shared" si="18"/>
        <v>1.640689089417462E-3</v>
      </c>
      <c r="M54" s="9">
        <f t="shared" si="18"/>
        <v>1.4507253626813434E-2</v>
      </c>
      <c r="N54" s="9">
        <f t="shared" si="18"/>
        <v>2.942907592701589E-3</v>
      </c>
      <c r="O54" s="9">
        <f t="shared" si="18"/>
        <v>6.3728093467869812E-3</v>
      </c>
      <c r="P54" s="9">
        <f t="shared" si="18"/>
        <v>-7.2383073496658295E-3</v>
      </c>
      <c r="Q54" s="9">
        <f t="shared" si="18"/>
        <v>3.0565461029036897E-3</v>
      </c>
      <c r="R54" s="9">
        <f t="shared" si="18"/>
        <v>6.5970313358987825E-3</v>
      </c>
      <c r="S54" s="9">
        <f t="shared" si="18"/>
        <v>5.1340559041641596E-3</v>
      </c>
      <c r="T54" s="9">
        <f t="shared" si="18"/>
        <v>6.0773480662983112E-3</v>
      </c>
      <c r="U54" s="9">
        <f t="shared" si="18"/>
        <v>3.5046728971963948E-3</v>
      </c>
      <c r="V54" s="9">
        <f t="shared" si="18"/>
        <v>4.4321329639889825E-3</v>
      </c>
      <c r="W54" s="9">
        <f t="shared" si="18"/>
        <v>5.8685446009389668E-3</v>
      </c>
      <c r="X54" s="9">
        <f t="shared" si="18"/>
        <v>6.1555679910465745E-3</v>
      </c>
      <c r="Y54" s="9">
        <f t="shared" si="18"/>
        <v>6.1387354205030267E-4</v>
      </c>
      <c r="Z54" s="9">
        <f t="shared" si="18"/>
        <v>1.7835909631391878E-3</v>
      </c>
      <c r="AA54" s="9">
        <f t="shared" si="18"/>
        <v>1.7301038062282753E-3</v>
      </c>
      <c r="AB54" s="9">
        <f t="shared" si="18"/>
        <v>8.7158628704241715E-3</v>
      </c>
      <c r="AC54" s="9">
        <f t="shared" si="18"/>
        <v>3.5190615835776792E-3</v>
      </c>
    </row>
    <row r="55" spans="1:29" x14ac:dyDescent="0.35">
      <c r="A55" s="15" t="s">
        <v>30</v>
      </c>
      <c r="B55" s="15">
        <v>2022</v>
      </c>
      <c r="C55" s="15" t="s">
        <v>46</v>
      </c>
      <c r="D55" s="9">
        <f t="shared" si="18"/>
        <v>1.0752688172042909E-2</v>
      </c>
      <c r="E55" s="9">
        <f t="shared" si="18"/>
        <v>-1.9102196752626823E-3</v>
      </c>
      <c r="F55" s="9">
        <f t="shared" si="18"/>
        <v>4.8511576626240255E-2</v>
      </c>
      <c r="G55" s="9">
        <f t="shared" si="18"/>
        <v>7.5449796865930518E-3</v>
      </c>
      <c r="H55" s="9">
        <f t="shared" si="18"/>
        <v>-2.1175224986765785E-3</v>
      </c>
      <c r="I55" s="9">
        <f t="shared" si="18"/>
        <v>-1.6801493466085806E-2</v>
      </c>
      <c r="J55" s="9">
        <f t="shared" si="18"/>
        <v>-0.12670671764063349</v>
      </c>
      <c r="K55" s="9">
        <f t="shared" si="18"/>
        <v>1.7595307917889231E-3</v>
      </c>
      <c r="L55" s="9">
        <f t="shared" si="18"/>
        <v>-2.457002457002434E-3</v>
      </c>
      <c r="M55" s="9">
        <f t="shared" si="18"/>
        <v>1.1834319526627106E-2</v>
      </c>
      <c r="N55" s="9">
        <f t="shared" si="18"/>
        <v>3.521126760563347E-3</v>
      </c>
      <c r="O55" s="9">
        <f t="shared" si="18"/>
        <v>4.2216358839050729E-3</v>
      </c>
      <c r="P55" s="9">
        <f t="shared" si="18"/>
        <v>-1.3460459899046581E-2</v>
      </c>
      <c r="Q55" s="9">
        <f t="shared" si="18"/>
        <v>2.031488065007647E-3</v>
      </c>
      <c r="R55" s="9">
        <f t="shared" si="18"/>
        <v>4.9153468050246079E-3</v>
      </c>
      <c r="S55" s="9">
        <f t="shared" si="18"/>
        <v>4.5402951191828118E-3</v>
      </c>
      <c r="T55" s="9">
        <f t="shared" si="18"/>
        <v>4.9423393739703777E-3</v>
      </c>
      <c r="U55" s="9">
        <f t="shared" si="18"/>
        <v>-6.4027939464494921E-3</v>
      </c>
      <c r="V55" s="9">
        <f t="shared" si="18"/>
        <v>3.8610038610037982E-3</v>
      </c>
      <c r="W55" s="9">
        <f t="shared" si="18"/>
        <v>4.0840140023336562E-3</v>
      </c>
      <c r="X55" s="9">
        <f t="shared" si="18"/>
        <v>7.2302558398219295E-3</v>
      </c>
      <c r="Y55" s="9">
        <f t="shared" si="18"/>
        <v>2.4539877300613845E-3</v>
      </c>
      <c r="Z55" s="9">
        <f t="shared" si="18"/>
        <v>2.3738872403561168E-3</v>
      </c>
      <c r="AA55" s="9">
        <f t="shared" si="18"/>
        <v>2.3028209556707293E-3</v>
      </c>
      <c r="AB55" s="9">
        <f t="shared" si="18"/>
        <v>1.2672811059907932E-2</v>
      </c>
      <c r="AC55" s="9">
        <f t="shared" si="18"/>
        <v>5.2600818234950653E-3</v>
      </c>
    </row>
    <row r="56" spans="1:29" x14ac:dyDescent="0.35">
      <c r="A56" s="15" t="s">
        <v>30</v>
      </c>
      <c r="B56" s="15">
        <v>2023</v>
      </c>
      <c r="C56" s="15" t="s">
        <v>31</v>
      </c>
      <c r="D56" s="9">
        <f t="shared" si="18"/>
        <v>2.7186761229314557E-2</v>
      </c>
      <c r="E56" s="9">
        <f t="shared" si="18"/>
        <v>8.1339712918659744E-3</v>
      </c>
      <c r="F56" s="9">
        <f t="shared" si="18"/>
        <v>2.2607781282860208E-2</v>
      </c>
      <c r="G56" s="9">
        <f t="shared" si="18"/>
        <v>5.7603686635944703E-3</v>
      </c>
      <c r="H56" s="9">
        <f t="shared" si="18"/>
        <v>-6.8965517241379917E-3</v>
      </c>
      <c r="I56" s="9">
        <f t="shared" si="18"/>
        <v>1.8987341772152618E-3</v>
      </c>
      <c r="J56" s="9">
        <f t="shared" si="18"/>
        <v>-3.7523452157598496E-2</v>
      </c>
      <c r="K56" s="9">
        <f t="shared" si="18"/>
        <v>5.854800936767817E-4</v>
      </c>
      <c r="L56" s="9">
        <f t="shared" si="18"/>
        <v>-5.7471264367816325E-3</v>
      </c>
      <c r="M56" s="9">
        <f t="shared" si="18"/>
        <v>1.5594541910331468E-2</v>
      </c>
      <c r="N56" s="9">
        <f t="shared" si="18"/>
        <v>2.339181286549741E-3</v>
      </c>
      <c r="O56" s="9">
        <f t="shared" si="18"/>
        <v>4.7293746715710832E-3</v>
      </c>
      <c r="P56" s="9">
        <f t="shared" si="18"/>
        <v>4.5480386583284984E-3</v>
      </c>
      <c r="Q56" s="9">
        <f t="shared" si="18"/>
        <v>4.5615813482005937E-3</v>
      </c>
      <c r="R56" s="9">
        <f t="shared" si="18"/>
        <v>4.8913043478261177E-3</v>
      </c>
      <c r="S56" s="9">
        <f t="shared" si="18"/>
        <v>3.3898305084745441E-3</v>
      </c>
      <c r="T56" s="9">
        <f t="shared" si="18"/>
        <v>4.3715846994536144E-3</v>
      </c>
      <c r="U56" s="9">
        <f t="shared" si="18"/>
        <v>8.201523140011751E-3</v>
      </c>
      <c r="V56" s="9">
        <f t="shared" si="18"/>
        <v>0</v>
      </c>
      <c r="W56" s="9">
        <f t="shared" si="18"/>
        <v>4.648460197559625E-3</v>
      </c>
      <c r="X56" s="9">
        <f t="shared" si="18"/>
        <v>6.6261733848703317E-3</v>
      </c>
      <c r="Y56" s="9">
        <f t="shared" si="18"/>
        <v>1.2239902080782657E-3</v>
      </c>
      <c r="Z56" s="9">
        <f t="shared" si="18"/>
        <v>3.5523978685612452E-3</v>
      </c>
      <c r="AA56" s="9">
        <f t="shared" si="18"/>
        <v>1.1487650775417408E-3</v>
      </c>
      <c r="AB56" s="9">
        <f t="shared" si="18"/>
        <v>1.5927189988623337E-2</v>
      </c>
      <c r="AC56" s="9">
        <f t="shared" si="18"/>
        <v>4.6511627906977403E-3</v>
      </c>
    </row>
    <row r="57" spans="1:29" x14ac:dyDescent="0.35">
      <c r="A57" s="15" t="s">
        <v>30</v>
      </c>
      <c r="B57" s="15">
        <v>2023</v>
      </c>
      <c r="C57" s="15" t="s">
        <v>35</v>
      </c>
      <c r="D57" s="9">
        <f t="shared" si="18"/>
        <v>3.4522439585730398E-3</v>
      </c>
      <c r="E57" s="9">
        <f t="shared" si="18"/>
        <v>-1.423825344091125E-2</v>
      </c>
      <c r="F57" s="9">
        <f t="shared" si="18"/>
        <v>-9.9228791773778982E-2</v>
      </c>
      <c r="G57" s="9">
        <f t="shared" si="18"/>
        <v>1.5463917525773294E-2</v>
      </c>
      <c r="H57" s="9">
        <f t="shared" si="18"/>
        <v>-4.2200854700854579E-2</v>
      </c>
      <c r="I57" s="9">
        <f t="shared" si="18"/>
        <v>7.0751737207833149E-2</v>
      </c>
      <c r="J57" s="9">
        <f t="shared" si="18"/>
        <v>-7.7972709551658026E-3</v>
      </c>
      <c r="K57" s="9">
        <f t="shared" si="18"/>
        <v>5.8513750731418557E-4</v>
      </c>
      <c r="L57" s="9">
        <f t="shared" si="18"/>
        <v>-9.0834021469859156E-3</v>
      </c>
      <c r="M57" s="9">
        <f t="shared" si="18"/>
        <v>6.2380038387715112E-3</v>
      </c>
      <c r="N57" s="9">
        <f t="shared" si="18"/>
        <v>5.2508751458576761E-3</v>
      </c>
      <c r="O57" s="9">
        <f t="shared" si="18"/>
        <v>9.4142259414226534E-3</v>
      </c>
      <c r="P57" s="9">
        <f t="shared" si="18"/>
        <v>1.6977928692700134E-3</v>
      </c>
      <c r="Q57" s="9">
        <f t="shared" si="18"/>
        <v>6.5590312815338621E-3</v>
      </c>
      <c r="R57" s="9">
        <f t="shared" si="18"/>
        <v>7.0308274743103453E-3</v>
      </c>
      <c r="S57" s="9">
        <f t="shared" si="18"/>
        <v>6.1936936936936617E-3</v>
      </c>
      <c r="T57" s="9">
        <f t="shared" si="18"/>
        <v>7.0729053318823879E-3</v>
      </c>
      <c r="U57" s="9">
        <f t="shared" si="18"/>
        <v>8.1348053457292614E-3</v>
      </c>
      <c r="V57" s="9">
        <f t="shared" si="18"/>
        <v>5.4945054945051823E-4</v>
      </c>
      <c r="W57" s="9">
        <f t="shared" si="18"/>
        <v>7.5187969924811037E-3</v>
      </c>
      <c r="X57" s="9">
        <f t="shared" si="18"/>
        <v>1.1519473395501889E-2</v>
      </c>
      <c r="Y57" s="9">
        <f t="shared" si="18"/>
        <v>3.6674816625916523E-3</v>
      </c>
      <c r="Z57" s="9">
        <f t="shared" si="18"/>
        <v>4.7197640117994768E-3</v>
      </c>
      <c r="AA57" s="9">
        <f t="shared" si="18"/>
        <v>4.016064257028047E-3</v>
      </c>
      <c r="AB57" s="9">
        <f t="shared" si="18"/>
        <v>1.3437849944008991E-2</v>
      </c>
      <c r="AC57" s="9">
        <f t="shared" si="18"/>
        <v>7.5231481481480489E-3</v>
      </c>
    </row>
    <row r="58" spans="1:29" x14ac:dyDescent="0.35">
      <c r="A58" s="15" t="s">
        <v>30</v>
      </c>
      <c r="B58" s="15">
        <v>2023</v>
      </c>
      <c r="C58" s="15" t="s">
        <v>36</v>
      </c>
      <c r="D58" s="9">
        <f t="shared" si="18"/>
        <v>0</v>
      </c>
      <c r="E58" s="9">
        <f t="shared" si="18"/>
        <v>0</v>
      </c>
      <c r="F58" s="9">
        <f t="shared" si="18"/>
        <v>0</v>
      </c>
      <c r="G58" s="9">
        <f t="shared" si="18"/>
        <v>0</v>
      </c>
      <c r="H58" s="9">
        <f t="shared" si="18"/>
        <v>-5.5772448410497898E-4</v>
      </c>
      <c r="I58" s="9">
        <f t="shared" si="18"/>
        <v>0</v>
      </c>
      <c r="J58" s="9">
        <f t="shared" si="18"/>
        <v>6.5487884741337755E-4</v>
      </c>
      <c r="K58" s="9">
        <f t="shared" si="18"/>
        <v>5.8479532163739363E-4</v>
      </c>
      <c r="L58" s="9">
        <f t="shared" si="18"/>
        <v>0</v>
      </c>
      <c r="M58" s="9">
        <f t="shared" si="18"/>
        <v>0</v>
      </c>
      <c r="N58" s="9">
        <f t="shared" si="18"/>
        <v>0</v>
      </c>
      <c r="O58" s="9">
        <f t="shared" si="18"/>
        <v>0</v>
      </c>
      <c r="P58" s="9">
        <f t="shared" si="18"/>
        <v>0</v>
      </c>
      <c r="Q58" s="9">
        <f t="shared" si="18"/>
        <v>0</v>
      </c>
      <c r="R58" s="9">
        <f t="shared" si="18"/>
        <v>-5.3705692803434116E-4</v>
      </c>
      <c r="S58" s="9">
        <f t="shared" si="18"/>
        <v>0</v>
      </c>
      <c r="T58" s="9">
        <f t="shared" si="18"/>
        <v>0</v>
      </c>
      <c r="U58" s="9">
        <f t="shared" si="18"/>
        <v>0</v>
      </c>
      <c r="V58" s="9">
        <f t="shared" si="18"/>
        <v>-1.0982976386600144E-3</v>
      </c>
      <c r="W58" s="9">
        <f t="shared" si="18"/>
        <v>0</v>
      </c>
      <c r="X58" s="9">
        <f t="shared" si="18"/>
        <v>0</v>
      </c>
      <c r="Y58" s="9">
        <f t="shared" si="18"/>
        <v>0</v>
      </c>
      <c r="Z58" s="9">
        <f t="shared" si="18"/>
        <v>0</v>
      </c>
      <c r="AA58" s="9">
        <f t="shared" si="18"/>
        <v>0</v>
      </c>
      <c r="AB58" s="9">
        <f t="shared" si="18"/>
        <v>0</v>
      </c>
      <c r="AC58" s="9">
        <f t="shared" si="18"/>
        <v>0</v>
      </c>
    </row>
    <row r="59" spans="1:29" x14ac:dyDescent="0.35">
      <c r="A59" s="15" t="s">
        <v>30</v>
      </c>
      <c r="B59" s="15">
        <v>2023</v>
      </c>
      <c r="C59" s="15" t="s">
        <v>37</v>
      </c>
      <c r="D59" s="9">
        <f t="shared" si="18"/>
        <v>-3.4403669724770315E-3</v>
      </c>
      <c r="E59" s="9">
        <f t="shared" si="18"/>
        <v>7.7034183919115207E-3</v>
      </c>
      <c r="F59" s="9">
        <f t="shared" si="18"/>
        <v>-3.1963470319634674E-2</v>
      </c>
      <c r="G59" s="9">
        <f t="shared" si="18"/>
        <v>6.2041737168640398E-3</v>
      </c>
      <c r="H59" s="9">
        <f t="shared" si="18"/>
        <v>-2.3995535714285622E-2</v>
      </c>
      <c r="I59" s="9">
        <f t="shared" si="18"/>
        <v>4.0117994100295054E-2</v>
      </c>
      <c r="J59" s="9">
        <f t="shared" si="18"/>
        <v>1.7015706806282685E-2</v>
      </c>
      <c r="K59" s="9">
        <f t="shared" si="18"/>
        <v>1.3442431326709593E-2</v>
      </c>
      <c r="L59" s="9">
        <f t="shared" si="18"/>
        <v>1.0833333333333309E-2</v>
      </c>
      <c r="M59" s="9">
        <f t="shared" si="18"/>
        <v>1.5259895088221351E-2</v>
      </c>
      <c r="N59" s="9">
        <f t="shared" si="18"/>
        <v>3.4822983168891135E-3</v>
      </c>
      <c r="O59" s="9">
        <f t="shared" si="18"/>
        <v>2.5906735751295338E-3</v>
      </c>
      <c r="P59" s="9">
        <f t="shared" si="18"/>
        <v>5.0847457627118961E-3</v>
      </c>
      <c r="Q59" s="9">
        <f t="shared" si="18"/>
        <v>5.5137844611528536E-3</v>
      </c>
      <c r="R59" s="9">
        <f t="shared" si="18"/>
        <v>4.2987641053197816E-3</v>
      </c>
      <c r="S59" s="9">
        <f t="shared" si="18"/>
        <v>2.7979854504756579E-3</v>
      </c>
      <c r="T59" s="9">
        <f t="shared" si="18"/>
        <v>3.2414910858994833E-3</v>
      </c>
      <c r="U59" s="9">
        <f t="shared" si="18"/>
        <v>9.7982708933716921E-3</v>
      </c>
      <c r="V59" s="9">
        <f t="shared" si="18"/>
        <v>-1.0995052226499013E-3</v>
      </c>
      <c r="W59" s="9">
        <f t="shared" si="18"/>
        <v>2.2962112514351646E-3</v>
      </c>
      <c r="X59" s="9">
        <f t="shared" si="18"/>
        <v>3.2537960954446546E-3</v>
      </c>
      <c r="Y59" s="9">
        <f t="shared" si="18"/>
        <v>1.8270401948843567E-3</v>
      </c>
      <c r="Z59" s="9">
        <f t="shared" si="18"/>
        <v>2.3487962419258793E-3</v>
      </c>
      <c r="AA59" s="9">
        <f t="shared" si="18"/>
        <v>8.0000000000000331E-3</v>
      </c>
      <c r="AB59" s="9">
        <f t="shared" si="18"/>
        <v>1.6574585635359115E-2</v>
      </c>
      <c r="AC59" s="9">
        <f t="shared" si="18"/>
        <v>5.1694428489374254E-3</v>
      </c>
    </row>
    <row r="60" spans="1:29" x14ac:dyDescent="0.35">
      <c r="A60" s="15" t="s">
        <v>30</v>
      </c>
      <c r="B60" s="15">
        <v>2023</v>
      </c>
      <c r="C60" s="15" t="s">
        <v>38</v>
      </c>
      <c r="D60" s="9">
        <f t="shared" si="18"/>
        <v>-5.7537399309564284E-4</v>
      </c>
      <c r="E60" s="9">
        <f t="shared" si="18"/>
        <v>2.3889154323936932E-2</v>
      </c>
      <c r="F60" s="9">
        <f t="shared" si="18"/>
        <v>2.122641509433959E-2</v>
      </c>
      <c r="G60" s="9">
        <f t="shared" si="18"/>
        <v>6.1659192825111791E-3</v>
      </c>
      <c r="H60" s="9">
        <f t="shared" si="18"/>
        <v>-2.801600914808465E-2</v>
      </c>
      <c r="I60" s="9">
        <f t="shared" si="18"/>
        <v>-2.32558139534885E-2</v>
      </c>
      <c r="J60" s="9">
        <f t="shared" si="18"/>
        <v>3.6036036036036001E-2</v>
      </c>
      <c r="K60" s="9">
        <f t="shared" si="18"/>
        <v>1.2687427912341341E-2</v>
      </c>
      <c r="L60" s="9">
        <f t="shared" si="18"/>
        <v>1.1541632316570533E-2</v>
      </c>
      <c r="M60" s="9">
        <f t="shared" si="18"/>
        <v>2.3954908407703118E-2</v>
      </c>
      <c r="N60" s="9">
        <f t="shared" si="18"/>
        <v>2.8918449971081549E-3</v>
      </c>
      <c r="O60" s="9">
        <f t="shared" si="18"/>
        <v>3.6175710594314658E-3</v>
      </c>
      <c r="P60" s="9">
        <f t="shared" si="18"/>
        <v>6.7453625632377095E-3</v>
      </c>
      <c r="Q60" s="9">
        <f t="shared" si="18"/>
        <v>1.9940179461615439E-3</v>
      </c>
      <c r="R60" s="9">
        <f t="shared" si="18"/>
        <v>2.1401819154628445E-3</v>
      </c>
      <c r="S60" s="9">
        <f t="shared" si="18"/>
        <v>2.7901785714285715E-3</v>
      </c>
      <c r="T60" s="9">
        <f t="shared" si="18"/>
        <v>2.6925148088314489E-3</v>
      </c>
      <c r="U60" s="9">
        <f t="shared" si="18"/>
        <v>2.2831050228310826E-3</v>
      </c>
      <c r="V60" s="9">
        <f t="shared" si="18"/>
        <v>6.0539350577876877E-3</v>
      </c>
      <c r="W60" s="9">
        <f t="shared" si="18"/>
        <v>3.4364261168384554E-3</v>
      </c>
      <c r="X60" s="9">
        <f t="shared" si="18"/>
        <v>3.7837837837837222E-3</v>
      </c>
      <c r="Y60" s="9">
        <f t="shared" si="18"/>
        <v>1.8237082066869992E-3</v>
      </c>
      <c r="Z60" s="9">
        <f t="shared" si="18"/>
        <v>2.9291154071470417E-3</v>
      </c>
      <c r="AA60" s="9">
        <f t="shared" si="18"/>
        <v>3.9682539682539038E-3</v>
      </c>
      <c r="AB60" s="9">
        <f t="shared" si="18"/>
        <v>6.5217391304347207E-3</v>
      </c>
      <c r="AC60" s="9">
        <f t="shared" si="18"/>
        <v>3.999999999999935E-3</v>
      </c>
    </row>
  </sheetData>
  <mergeCells count="1">
    <mergeCell ref="A33:AC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547E-EEEA-4760-B489-08B48CD9DEE5}">
  <dimension ref="B2:AL26"/>
  <sheetViews>
    <sheetView zoomScale="85" zoomScaleNormal="85" workbookViewId="0">
      <selection activeCell="D4" sqref="D4:H6"/>
    </sheetView>
  </sheetViews>
  <sheetFormatPr defaultRowHeight="14.5" x14ac:dyDescent="0.35"/>
  <cols>
    <col min="2" max="2" width="9.90625" bestFit="1" customWidth="1"/>
    <col min="3" max="3" width="6.6328125" customWidth="1"/>
    <col min="4" max="4" width="14.6328125" bestFit="1" customWidth="1"/>
    <col min="5" max="5" width="26.36328125" bestFit="1" customWidth="1"/>
    <col min="6" max="6" width="31.90625" bestFit="1" customWidth="1"/>
    <col min="7" max="7" width="19.6328125" bestFit="1" customWidth="1"/>
    <col min="8" max="8" width="15.26953125" bestFit="1" customWidth="1"/>
    <col min="13" max="13" width="18.54296875" bestFit="1" customWidth="1"/>
    <col min="14" max="14" width="12.26953125" bestFit="1" customWidth="1"/>
    <col min="15" max="15" width="3.6328125" bestFit="1" customWidth="1"/>
    <col min="16" max="16" width="15.90625" bestFit="1" customWidth="1"/>
    <col min="17" max="17" width="11.08984375" bestFit="1" customWidth="1"/>
    <col min="18" max="18" width="5.453125" bestFit="1" customWidth="1"/>
    <col min="19" max="19" width="9.81640625" bestFit="1" customWidth="1"/>
    <col min="20" max="20" width="17.6328125" bestFit="1" customWidth="1"/>
    <col min="21" max="21" width="21.453125" bestFit="1" customWidth="1"/>
    <col min="22" max="22" width="5.90625" bestFit="1" customWidth="1"/>
    <col min="23" max="23" width="21.36328125" bestFit="1" customWidth="1"/>
    <col min="24" max="24" width="31.1796875" bestFit="1" customWidth="1"/>
    <col min="25" max="25" width="17.7265625" bestFit="1" customWidth="1"/>
    <col min="26" max="26" width="25.26953125" bestFit="1" customWidth="1"/>
    <col min="27" max="27" width="7.6328125" bestFit="1" customWidth="1"/>
    <col min="29" max="29" width="19.54296875" bestFit="1" customWidth="1"/>
    <col min="30" max="30" width="7.54296875" bestFit="1" customWidth="1"/>
    <col min="31" max="31" width="11.90625" bestFit="1" customWidth="1"/>
    <col min="32" max="32" width="26.26953125" bestFit="1" customWidth="1"/>
    <col min="33" max="33" width="6.26953125" bestFit="1" customWidth="1"/>
    <col min="34" max="34" width="26.36328125" bestFit="1" customWidth="1"/>
    <col min="35" max="35" width="24" bestFit="1" customWidth="1"/>
    <col min="36" max="36" width="9.08984375" bestFit="1" customWidth="1"/>
    <col min="37" max="37" width="21.90625" bestFit="1" customWidth="1"/>
    <col min="38" max="38" width="12.6328125" bestFit="1" customWidth="1"/>
  </cols>
  <sheetData>
    <row r="2" spans="2:38" x14ac:dyDescent="0.35">
      <c r="B2" s="15" t="s">
        <v>2</v>
      </c>
      <c r="C2" s="15" t="s">
        <v>1</v>
      </c>
      <c r="D2" s="15" t="s">
        <v>147</v>
      </c>
      <c r="E2" s="49" t="s">
        <v>175</v>
      </c>
      <c r="F2" s="15" t="s">
        <v>172</v>
      </c>
      <c r="G2" t="s">
        <v>173</v>
      </c>
      <c r="H2" t="s">
        <v>174</v>
      </c>
      <c r="AL2" s="15" t="s">
        <v>28</v>
      </c>
    </row>
    <row r="3" spans="2:38" x14ac:dyDescent="0.35">
      <c r="B3" s="15" t="s">
        <v>37</v>
      </c>
      <c r="C3" s="15">
        <v>2021</v>
      </c>
      <c r="D3" s="15" t="s">
        <v>148</v>
      </c>
      <c r="E3" s="50">
        <v>8555.124305166928</v>
      </c>
      <c r="F3" s="50">
        <v>18256.492266788002</v>
      </c>
      <c r="G3" s="51">
        <f>E3/F3</f>
        <v>0.4686072318903402</v>
      </c>
      <c r="H3" s="15"/>
    </row>
    <row r="4" spans="2:38" x14ac:dyDescent="0.35">
      <c r="B4" s="15" t="s">
        <v>38</v>
      </c>
      <c r="C4" s="15">
        <v>2021</v>
      </c>
      <c r="D4" s="15" t="s">
        <v>149</v>
      </c>
      <c r="E4" s="50">
        <v>8262.4591334358447</v>
      </c>
      <c r="F4" s="50">
        <v>17259.238289191999</v>
      </c>
      <c r="G4" s="51">
        <f t="shared" ref="G4:G26" si="0">E4/F4</f>
        <v>0.47872675462218539</v>
      </c>
      <c r="H4" s="25">
        <f>(G4-G3)/G3</f>
        <v>2.1594892360118929E-2</v>
      </c>
    </row>
    <row r="5" spans="2:38" x14ac:dyDescent="0.35">
      <c r="B5" s="15" t="s">
        <v>39</v>
      </c>
      <c r="C5" s="15">
        <v>2021</v>
      </c>
      <c r="D5" s="15" t="s">
        <v>150</v>
      </c>
      <c r="E5" s="50">
        <v>8288.6639043868272</v>
      </c>
      <c r="F5" s="50">
        <v>15904.74071692</v>
      </c>
      <c r="G5" s="51">
        <f t="shared" si="0"/>
        <v>0.52114423315113001</v>
      </c>
      <c r="H5" s="25">
        <f t="shared" ref="H5:H26" si="1">(G5-G4)/G4</f>
        <v>8.8604779489336871E-2</v>
      </c>
    </row>
    <row r="6" spans="2:38" x14ac:dyDescent="0.35">
      <c r="B6" s="15" t="s">
        <v>40</v>
      </c>
      <c r="C6" s="15">
        <v>2021</v>
      </c>
      <c r="D6" s="15" t="s">
        <v>151</v>
      </c>
      <c r="E6" s="50">
        <v>7975.557676093822</v>
      </c>
      <c r="F6" s="50">
        <v>15021.215412387</v>
      </c>
      <c r="G6" s="51">
        <f t="shared" si="0"/>
        <v>0.53095288611046132</v>
      </c>
      <c r="H6" s="25">
        <f t="shared" si="1"/>
        <v>1.8821378680567373E-2</v>
      </c>
    </row>
    <row r="7" spans="2:38" x14ac:dyDescent="0.35">
      <c r="B7" s="15" t="s">
        <v>41</v>
      </c>
      <c r="C7" s="15">
        <v>2021</v>
      </c>
      <c r="D7" s="15" t="s">
        <v>152</v>
      </c>
      <c r="E7" s="50">
        <v>9075.0363125651802</v>
      </c>
      <c r="F7" s="50">
        <v>17386.686679644998</v>
      </c>
      <c r="G7" s="51">
        <f t="shared" si="0"/>
        <v>0.52195317485013049</v>
      </c>
      <c r="H7" s="25">
        <f t="shared" si="1"/>
        <v>-1.6950112704460375E-2</v>
      </c>
    </row>
    <row r="8" spans="2:38" x14ac:dyDescent="0.35">
      <c r="B8" s="15" t="s">
        <v>42</v>
      </c>
      <c r="C8" s="15">
        <v>2021</v>
      </c>
      <c r="D8" s="15" t="s">
        <v>153</v>
      </c>
      <c r="E8" s="50">
        <v>9340.0907281339605</v>
      </c>
      <c r="F8" s="50">
        <v>17607.534813625</v>
      </c>
      <c r="G8" s="51">
        <f t="shared" si="0"/>
        <v>0.53045987567245612</v>
      </c>
      <c r="H8" s="25">
        <f t="shared" si="1"/>
        <v>1.6297823698013098E-2</v>
      </c>
    </row>
    <row r="9" spans="2:38" x14ac:dyDescent="0.35">
      <c r="B9" s="15" t="s">
        <v>43</v>
      </c>
      <c r="C9" s="15">
        <v>2021</v>
      </c>
      <c r="D9" s="15" t="s">
        <v>154</v>
      </c>
      <c r="E9" s="50">
        <v>9636.9097891856873</v>
      </c>
      <c r="F9" s="50">
        <v>17084.174631723999</v>
      </c>
      <c r="G9" s="51">
        <f t="shared" si="0"/>
        <v>0.56408401324174517</v>
      </c>
      <c r="H9" s="25">
        <f t="shared" si="1"/>
        <v>6.3386768936414345E-2</v>
      </c>
    </row>
    <row r="10" spans="2:38" x14ac:dyDescent="0.35">
      <c r="B10" s="15" t="s">
        <v>45</v>
      </c>
      <c r="C10" s="15">
        <v>2021</v>
      </c>
      <c r="D10" s="15" t="s">
        <v>155</v>
      </c>
      <c r="E10" s="50">
        <v>10588.500877415287</v>
      </c>
      <c r="F10" s="50">
        <v>18340.381595481929</v>
      </c>
      <c r="G10" s="51">
        <f t="shared" si="0"/>
        <v>0.57733263739854335</v>
      </c>
      <c r="H10" s="25">
        <f t="shared" si="1"/>
        <v>2.3486969752359053E-2</v>
      </c>
    </row>
    <row r="11" spans="2:38" x14ac:dyDescent="0.35">
      <c r="B11" s="15" t="s">
        <v>46</v>
      </c>
      <c r="C11" s="15">
        <v>2021</v>
      </c>
      <c r="D11" s="15" t="s">
        <v>156</v>
      </c>
      <c r="E11" s="50">
        <v>10887.089291441698</v>
      </c>
      <c r="F11" s="50">
        <v>19648.115803371995</v>
      </c>
      <c r="G11" s="51">
        <f t="shared" si="0"/>
        <v>0.55410347742215893</v>
      </c>
      <c r="H11" s="25">
        <f t="shared" si="1"/>
        <v>-4.0235314048855511E-2</v>
      </c>
    </row>
    <row r="12" spans="2:38" x14ac:dyDescent="0.35">
      <c r="B12" s="15" t="s">
        <v>31</v>
      </c>
      <c r="C12" s="15">
        <v>2022</v>
      </c>
      <c r="D12" s="15" t="s">
        <v>157</v>
      </c>
      <c r="E12" s="50">
        <v>11573.41351840969</v>
      </c>
      <c r="F12" s="50">
        <v>19253.803364503616</v>
      </c>
      <c r="G12" s="51">
        <f t="shared" si="0"/>
        <v>0.60109752339875244</v>
      </c>
      <c r="H12" s="25">
        <f t="shared" si="1"/>
        <v>8.481095660186555E-2</v>
      </c>
    </row>
    <row r="13" spans="2:38" x14ac:dyDescent="0.35">
      <c r="B13" s="15" t="s">
        <v>35</v>
      </c>
      <c r="C13" s="15">
        <v>2022</v>
      </c>
      <c r="D13" s="15" t="s">
        <v>158</v>
      </c>
      <c r="E13" s="50">
        <v>11618.667114456433</v>
      </c>
      <c r="F13" s="50">
        <v>17588.537024211</v>
      </c>
      <c r="G13" s="51">
        <f t="shared" si="0"/>
        <v>0.66058178110340204</v>
      </c>
      <c r="H13" s="25">
        <f t="shared" si="1"/>
        <v>9.8959412390041232E-2</v>
      </c>
    </row>
    <row r="14" spans="2:38" x14ac:dyDescent="0.35">
      <c r="B14" s="15" t="s">
        <v>36</v>
      </c>
      <c r="C14" s="15">
        <v>2022</v>
      </c>
      <c r="D14" s="15" t="s">
        <v>159</v>
      </c>
      <c r="E14" s="50">
        <v>14873.640267261206</v>
      </c>
      <c r="F14" s="50">
        <v>19030.701838389999</v>
      </c>
      <c r="G14" s="51">
        <f t="shared" si="0"/>
        <v>0.78156025949905372</v>
      </c>
      <c r="H14" s="25">
        <f t="shared" si="1"/>
        <v>0.18313929002639978</v>
      </c>
    </row>
    <row r="15" spans="2:38" x14ac:dyDescent="0.35">
      <c r="B15" s="15" t="s">
        <v>37</v>
      </c>
      <c r="C15" s="15">
        <v>2022</v>
      </c>
      <c r="D15" s="15" t="s">
        <v>160</v>
      </c>
      <c r="E15" s="50">
        <v>16814.63885159072</v>
      </c>
      <c r="F15" s="50">
        <v>21626.169696185003</v>
      </c>
      <c r="G15" s="51">
        <f t="shared" si="0"/>
        <v>0.77751349812800796</v>
      </c>
      <c r="H15" s="25">
        <f t="shared" si="1"/>
        <v>-5.1777982847279851E-3</v>
      </c>
    </row>
    <row r="16" spans="2:38" x14ac:dyDescent="0.35">
      <c r="B16" s="15" t="s">
        <v>38</v>
      </c>
      <c r="C16" s="15">
        <v>2022</v>
      </c>
      <c r="D16" s="15" t="s">
        <v>161</v>
      </c>
      <c r="E16" s="50">
        <v>15468.77842943227</v>
      </c>
      <c r="F16" s="50">
        <v>19644.253621534997</v>
      </c>
      <c r="G16" s="51">
        <f t="shared" si="0"/>
        <v>0.78744546509390578</v>
      </c>
      <c r="H16" s="25">
        <f t="shared" si="1"/>
        <v>1.2774012270926061E-2</v>
      </c>
    </row>
    <row r="17" spans="2:8" x14ac:dyDescent="0.35">
      <c r="B17" s="15" t="s">
        <v>39</v>
      </c>
      <c r="C17" s="15">
        <v>2022</v>
      </c>
      <c r="D17" s="15" t="s">
        <v>162</v>
      </c>
      <c r="E17" s="50">
        <v>15596.965701493482</v>
      </c>
      <c r="F17" s="50">
        <v>19209.652005542004</v>
      </c>
      <c r="G17" s="51">
        <f t="shared" si="0"/>
        <v>0.81193379749897299</v>
      </c>
      <c r="H17" s="25">
        <f t="shared" si="1"/>
        <v>3.1098448706091512E-2</v>
      </c>
    </row>
    <row r="18" spans="2:8" x14ac:dyDescent="0.35">
      <c r="B18" s="15" t="s">
        <v>40</v>
      </c>
      <c r="C18" s="15">
        <v>2022</v>
      </c>
      <c r="D18" s="15" t="s">
        <v>163</v>
      </c>
      <c r="E18" s="50">
        <v>16264.642870403179</v>
      </c>
      <c r="F18" s="50">
        <v>20624.253959481997</v>
      </c>
      <c r="G18" s="51">
        <f t="shared" si="0"/>
        <v>0.78861727082862609</v>
      </c>
      <c r="H18" s="25">
        <f t="shared" si="1"/>
        <v>-2.8717275647558427E-2</v>
      </c>
    </row>
    <row r="19" spans="2:8" x14ac:dyDescent="0.35">
      <c r="B19" s="15" t="s">
        <v>41</v>
      </c>
      <c r="C19" s="15">
        <v>2022</v>
      </c>
      <c r="D19" s="15" t="s">
        <v>164</v>
      </c>
      <c r="E19" s="50">
        <v>13107.363864410439</v>
      </c>
      <c r="F19" s="50">
        <v>17637.212315264998</v>
      </c>
      <c r="G19" s="51">
        <f t="shared" si="0"/>
        <v>0.74316528202509768</v>
      </c>
      <c r="H19" s="25">
        <f t="shared" si="1"/>
        <v>-5.763504108370656E-2</v>
      </c>
    </row>
    <row r="20" spans="2:8" x14ac:dyDescent="0.35">
      <c r="B20" s="15" t="s">
        <v>42</v>
      </c>
      <c r="C20" s="15">
        <v>2022</v>
      </c>
      <c r="D20" s="15" t="s">
        <v>165</v>
      </c>
      <c r="E20" s="50">
        <v>11827.3068625909</v>
      </c>
      <c r="F20" s="50">
        <v>16772.209972765002</v>
      </c>
      <c r="G20" s="51">
        <f t="shared" si="0"/>
        <v>0.70517283541025788</v>
      </c>
      <c r="H20" s="25">
        <f t="shared" si="1"/>
        <v>-5.1122472394447442E-2</v>
      </c>
    </row>
    <row r="21" spans="2:8" x14ac:dyDescent="0.35">
      <c r="B21" s="15" t="s">
        <v>43</v>
      </c>
      <c r="C21" s="15">
        <v>2022</v>
      </c>
      <c r="D21" s="15" t="s">
        <v>166</v>
      </c>
      <c r="E21" s="50">
        <v>12086.554987723201</v>
      </c>
      <c r="F21" s="50">
        <v>18123.446675544998</v>
      </c>
      <c r="G21" s="51">
        <f t="shared" si="0"/>
        <v>0.66690156701993553</v>
      </c>
      <c r="H21" s="25">
        <f t="shared" si="1"/>
        <v>-5.4272181894324908E-2</v>
      </c>
    </row>
    <row r="22" spans="2:8" x14ac:dyDescent="0.35">
      <c r="B22" s="15" t="s">
        <v>45</v>
      </c>
      <c r="C22" s="15">
        <v>2022</v>
      </c>
      <c r="D22" s="15" t="s">
        <v>167</v>
      </c>
      <c r="E22" s="50">
        <v>12252.886624445022</v>
      </c>
      <c r="F22" s="50">
        <v>19003.280854934001</v>
      </c>
      <c r="G22" s="51">
        <f t="shared" si="0"/>
        <v>0.64477743174877566</v>
      </c>
      <c r="H22" s="25">
        <f t="shared" si="1"/>
        <v>-3.3174513849205743E-2</v>
      </c>
    </row>
    <row r="23" spans="2:8" x14ac:dyDescent="0.35">
      <c r="B23" s="15" t="s">
        <v>46</v>
      </c>
      <c r="C23" s="15">
        <v>2022</v>
      </c>
      <c r="D23" s="15" t="s">
        <v>168</v>
      </c>
      <c r="E23" s="50">
        <v>11445.029806847097</v>
      </c>
      <c r="F23" s="50">
        <v>19617.709583499</v>
      </c>
      <c r="G23" s="51">
        <f t="shared" si="0"/>
        <v>0.58340295833891986</v>
      </c>
      <c r="H23" s="25">
        <f t="shared" si="1"/>
        <v>-9.5187068262291646E-2</v>
      </c>
    </row>
    <row r="24" spans="2:8" x14ac:dyDescent="0.35">
      <c r="B24" s="15" t="s">
        <v>31</v>
      </c>
      <c r="C24" s="15">
        <v>2023</v>
      </c>
      <c r="D24" s="15" t="s">
        <v>169</v>
      </c>
      <c r="E24" s="50">
        <v>11350.712839064225</v>
      </c>
      <c r="F24" s="50">
        <v>20229.309738625001</v>
      </c>
      <c r="G24" s="51">
        <f t="shared" si="0"/>
        <v>0.56110233051559077</v>
      </c>
      <c r="H24" s="25">
        <f t="shared" si="1"/>
        <v>-3.8225085259807424E-2</v>
      </c>
    </row>
    <row r="25" spans="2:8" x14ac:dyDescent="0.35">
      <c r="B25" s="15" t="s">
        <v>35</v>
      </c>
      <c r="C25" s="15">
        <v>2023</v>
      </c>
      <c r="D25" s="15" t="s">
        <v>170</v>
      </c>
      <c r="E25" s="50">
        <v>10421.176769331698</v>
      </c>
      <c r="F25" s="50">
        <v>19284.873472954998</v>
      </c>
      <c r="G25" s="51">
        <f t="shared" si="0"/>
        <v>0.54038087332780793</v>
      </c>
      <c r="H25" s="25">
        <f t="shared" si="1"/>
        <v>-3.692990754243014E-2</v>
      </c>
    </row>
    <row r="26" spans="2:8" x14ac:dyDescent="0.35">
      <c r="B26" s="15" t="s">
        <v>36</v>
      </c>
      <c r="C26" s="15">
        <v>2023</v>
      </c>
      <c r="D26" s="15" t="s">
        <v>171</v>
      </c>
      <c r="E26" s="50">
        <v>10894.966503463778</v>
      </c>
      <c r="F26" s="50">
        <v>20928.040082494001</v>
      </c>
      <c r="G26" s="51">
        <f t="shared" si="0"/>
        <v>0.52059182133243609</v>
      </c>
      <c r="H26" s="25">
        <f t="shared" si="1"/>
        <v>-3.6620563332498503E-2</v>
      </c>
    </row>
  </sheetData>
  <phoneticPr fontId="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E855-668F-4384-B3E1-2FDDED426E8E}">
  <dimension ref="B3:H30"/>
  <sheetViews>
    <sheetView workbookViewId="0">
      <selection activeCell="O32" sqref="O32"/>
    </sheetView>
  </sheetViews>
  <sheetFormatPr defaultRowHeight="14.5" x14ac:dyDescent="0.35"/>
  <cols>
    <col min="4" max="4" width="12" bestFit="1" customWidth="1"/>
    <col min="7" max="7" width="31.1796875" bestFit="1" customWidth="1"/>
    <col min="8" max="8" width="23.453125" customWidth="1"/>
  </cols>
  <sheetData>
    <row r="3" spans="2:8" x14ac:dyDescent="0.35">
      <c r="B3" s="15" t="s">
        <v>2</v>
      </c>
      <c r="C3" s="15" t="s">
        <v>1</v>
      </c>
      <c r="D3" s="15" t="s">
        <v>143</v>
      </c>
      <c r="G3" s="73" t="s">
        <v>145</v>
      </c>
      <c r="H3" s="74"/>
    </row>
    <row r="4" spans="2:8" x14ac:dyDescent="0.35">
      <c r="B4" s="15" t="s">
        <v>38</v>
      </c>
      <c r="C4" s="15">
        <v>2021</v>
      </c>
      <c r="D4" s="9">
        <v>2.1594892360118929E-2</v>
      </c>
      <c r="G4" s="54" t="s">
        <v>98</v>
      </c>
      <c r="H4" s="15" t="s">
        <v>146</v>
      </c>
    </row>
    <row r="5" spans="2:8" x14ac:dyDescent="0.35">
      <c r="B5" s="15" t="s">
        <v>39</v>
      </c>
      <c r="C5" s="15">
        <v>2021</v>
      </c>
      <c r="D5" s="9">
        <v>8.8604779489336871E-2</v>
      </c>
      <c r="G5" s="5" t="s">
        <v>3</v>
      </c>
      <c r="H5" s="51">
        <f>CORREL($D$4:$D$26,'Rural Sec Raw Data'!D$36:D$58)</f>
        <v>-0.31620114883349604</v>
      </c>
    </row>
    <row r="6" spans="2:8" x14ac:dyDescent="0.35">
      <c r="B6" s="15" t="s">
        <v>40</v>
      </c>
      <c r="C6" s="15">
        <v>2021</v>
      </c>
      <c r="D6" s="9">
        <v>1.8821378680567373E-2</v>
      </c>
      <c r="G6" s="5" t="s">
        <v>4</v>
      </c>
      <c r="H6" s="51">
        <f>CORREL($D$4:$D$26,'Rural Sec Raw Data'!E$36:E$58)</f>
        <v>0.56613334183188202</v>
      </c>
    </row>
    <row r="7" spans="2:8" x14ac:dyDescent="0.35">
      <c r="B7" s="15" t="s">
        <v>41</v>
      </c>
      <c r="C7" s="15">
        <v>2021</v>
      </c>
      <c r="D7" s="9">
        <v>-1.6950112704460375E-2</v>
      </c>
      <c r="G7" s="5" t="s">
        <v>5</v>
      </c>
      <c r="H7" s="51">
        <f>CORREL($D$4:$D$26,'Rural Sec Raw Data'!F$36:F$58)</f>
        <v>-0.11770530912744046</v>
      </c>
    </row>
    <row r="8" spans="2:8" x14ac:dyDescent="0.35">
      <c r="B8" s="15" t="s">
        <v>42</v>
      </c>
      <c r="C8" s="15">
        <v>2021</v>
      </c>
      <c r="D8" s="9">
        <v>1.6297823698013098E-2</v>
      </c>
      <c r="G8" s="5" t="s">
        <v>6</v>
      </c>
      <c r="H8" s="51">
        <f>CORREL($D$4:$D$26,'Rural Sec Raw Data'!G$36:G$58)</f>
        <v>-0.30696987671797393</v>
      </c>
    </row>
    <row r="9" spans="2:8" x14ac:dyDescent="0.35">
      <c r="B9" s="15" t="s">
        <v>43</v>
      </c>
      <c r="C9" s="15">
        <v>2021</v>
      </c>
      <c r="D9" s="9">
        <v>6.3386768936414345E-2</v>
      </c>
      <c r="G9" s="5" t="s">
        <v>7</v>
      </c>
      <c r="H9" s="51">
        <f>CORREL($D$4:$D$26,'Rural Sec Raw Data'!H$36:H$58)</f>
        <v>0.55275374121834242</v>
      </c>
    </row>
    <row r="10" spans="2:8" x14ac:dyDescent="0.35">
      <c r="B10" s="15" t="s">
        <v>45</v>
      </c>
      <c r="C10" s="15">
        <v>2021</v>
      </c>
      <c r="D10" s="9">
        <v>2.3486969752359053E-2</v>
      </c>
      <c r="G10" s="5" t="s">
        <v>8</v>
      </c>
      <c r="H10" s="51">
        <f>CORREL($D$4:$D$26,'Rural Sec Raw Data'!I$36:I$58)</f>
        <v>8.6975796783078679E-2</v>
      </c>
    </row>
    <row r="11" spans="2:8" x14ac:dyDescent="0.35">
      <c r="B11" s="15" t="s">
        <v>46</v>
      </c>
      <c r="C11" s="15">
        <v>2021</v>
      </c>
      <c r="D11" s="9">
        <v>-4.0235314048855511E-2</v>
      </c>
      <c r="G11" s="5" t="s">
        <v>9</v>
      </c>
      <c r="H11" s="51">
        <f>CORREL($D$4:$D$26,'Rural Sec Raw Data'!J$36:J$58)</f>
        <v>0.28120034467479382</v>
      </c>
    </row>
    <row r="12" spans="2:8" x14ac:dyDescent="0.35">
      <c r="B12" s="15" t="s">
        <v>31</v>
      </c>
      <c r="C12" s="15">
        <v>2022</v>
      </c>
      <c r="D12" s="9">
        <v>8.481095660186555E-2</v>
      </c>
      <c r="G12" s="5" t="s">
        <v>10</v>
      </c>
      <c r="H12" s="51">
        <f>CORREL($D$4:$D$26,'Rural Sec Raw Data'!K$36:K$58)</f>
        <v>-9.1304409937847386E-2</v>
      </c>
    </row>
    <row r="13" spans="2:8" x14ac:dyDescent="0.35">
      <c r="B13" s="15" t="s">
        <v>35</v>
      </c>
      <c r="C13" s="15">
        <v>2022</v>
      </c>
      <c r="D13" s="9">
        <v>9.8959412390041232E-2</v>
      </c>
      <c r="G13" s="5" t="s">
        <v>11</v>
      </c>
      <c r="H13" s="51">
        <f>CORREL($D$4:$D$26,'Rural Sec Raw Data'!L$36:L$58)</f>
        <v>2.6942370093001072E-2</v>
      </c>
    </row>
    <row r="14" spans="2:8" x14ac:dyDescent="0.35">
      <c r="B14" s="15" t="s">
        <v>36</v>
      </c>
      <c r="C14" s="15">
        <v>2022</v>
      </c>
      <c r="D14" s="9">
        <v>0.18313929002639978</v>
      </c>
      <c r="G14" s="5" t="s">
        <v>12</v>
      </c>
      <c r="H14" s="51">
        <f>CORREL($D$4:$D$26,'Rural Sec Raw Data'!M$36:M$58)</f>
        <v>-5.3116497634562158E-2</v>
      </c>
    </row>
    <row r="15" spans="2:8" x14ac:dyDescent="0.35">
      <c r="B15" s="15" t="s">
        <v>37</v>
      </c>
      <c r="C15" s="15">
        <v>2022</v>
      </c>
      <c r="D15" s="9">
        <v>-5.1777982847279851E-3</v>
      </c>
      <c r="G15" s="5" t="s">
        <v>13</v>
      </c>
      <c r="H15" s="51">
        <f>CORREL($D$4:$D$26,'Rural Sec Raw Data'!N$36:N$58)</f>
        <v>0.16677638409237849</v>
      </c>
    </row>
    <row r="16" spans="2:8" x14ac:dyDescent="0.35">
      <c r="B16" s="15" t="s">
        <v>38</v>
      </c>
      <c r="C16" s="15">
        <v>2022</v>
      </c>
      <c r="D16" s="9">
        <v>1.2774012270926061E-2</v>
      </c>
      <c r="G16" s="5" t="s">
        <v>74</v>
      </c>
      <c r="H16" s="51">
        <f>CORREL($D$4:$D$26,'Rural Sec Raw Data'!O$36:O$58)</f>
        <v>0.12936073295918663</v>
      </c>
    </row>
    <row r="17" spans="2:8" x14ac:dyDescent="0.35">
      <c r="B17" s="15" t="s">
        <v>39</v>
      </c>
      <c r="C17" s="15">
        <v>2022</v>
      </c>
      <c r="D17" s="9">
        <v>3.1098448706091512E-2</v>
      </c>
      <c r="G17" s="5" t="s">
        <v>15</v>
      </c>
      <c r="H17" s="51">
        <f>CORREL($D$4:$D$26,'Rural Sec Raw Data'!P$36:P$58)</f>
        <v>0.37974493107309204</v>
      </c>
    </row>
    <row r="18" spans="2:8" x14ac:dyDescent="0.35">
      <c r="B18" s="15" t="s">
        <v>40</v>
      </c>
      <c r="C18" s="15">
        <v>2022</v>
      </c>
      <c r="D18" s="9">
        <v>-2.8717275647558427E-2</v>
      </c>
      <c r="G18" s="5" t="s">
        <v>73</v>
      </c>
      <c r="H18" s="51">
        <f>CORREL($D$4:$D$26,'Rural Sec Raw Data'!Q$36:Q$58)</f>
        <v>-7.4248791442931778E-3</v>
      </c>
    </row>
    <row r="19" spans="2:8" x14ac:dyDescent="0.35">
      <c r="B19" s="15" t="s">
        <v>41</v>
      </c>
      <c r="C19" s="15">
        <v>2022</v>
      </c>
      <c r="D19" s="9">
        <v>-5.763504108370656E-2</v>
      </c>
      <c r="G19" s="5" t="s">
        <v>17</v>
      </c>
      <c r="H19" s="51">
        <f>CORREL($D$4:$D$26,'Rural Sec Raw Data'!R$36:R$58)</f>
        <v>4.4904321241008037E-2</v>
      </c>
    </row>
    <row r="20" spans="2:8" x14ac:dyDescent="0.35">
      <c r="B20" s="15" t="s">
        <v>42</v>
      </c>
      <c r="C20" s="15">
        <v>2022</v>
      </c>
      <c r="D20" s="9">
        <v>-5.1122472394447442E-2</v>
      </c>
      <c r="G20" s="5" t="s">
        <v>18</v>
      </c>
      <c r="H20" s="51">
        <f>CORREL($D$4:$D$26,'Rural Sec Raw Data'!S$36:S$58)</f>
        <v>0.20613333539936343</v>
      </c>
    </row>
    <row r="21" spans="2:8" x14ac:dyDescent="0.35">
      <c r="B21" s="15" t="s">
        <v>43</v>
      </c>
      <c r="C21" s="15">
        <v>2022</v>
      </c>
      <c r="D21" s="9">
        <v>-5.4272181894324908E-2</v>
      </c>
      <c r="G21" s="5" t="s">
        <v>19</v>
      </c>
      <c r="H21" s="51">
        <f>CORREL($D$4:$D$26,'Rural Sec Raw Data'!T$36:T$58)</f>
        <v>8.229627885001492E-2</v>
      </c>
    </row>
    <row r="22" spans="2:8" x14ac:dyDescent="0.35">
      <c r="B22" s="15" t="s">
        <v>45</v>
      </c>
      <c r="C22" s="15">
        <v>2022</v>
      </c>
      <c r="D22" s="9">
        <v>-3.3174513849205743E-2</v>
      </c>
      <c r="G22" s="5" t="s">
        <v>20</v>
      </c>
      <c r="H22" s="51">
        <v>0</v>
      </c>
    </row>
    <row r="23" spans="2:8" x14ac:dyDescent="0.35">
      <c r="B23" s="15" t="s">
        <v>46</v>
      </c>
      <c r="C23" s="15">
        <v>2022</v>
      </c>
      <c r="D23" s="9">
        <v>-9.5187068262291646E-2</v>
      </c>
      <c r="G23" s="5" t="s">
        <v>21</v>
      </c>
      <c r="H23" s="51">
        <f>CORREL($D$4:$D$26,'Rural Sec Raw Data'!V$36:V$58)</f>
        <v>0.17925933145771009</v>
      </c>
    </row>
    <row r="24" spans="2:8" x14ac:dyDescent="0.35">
      <c r="B24" s="15" t="s">
        <v>31</v>
      </c>
      <c r="C24" s="15">
        <v>2023</v>
      </c>
      <c r="D24" s="9">
        <v>-3.8225085259807424E-2</v>
      </c>
      <c r="G24" s="5" t="s">
        <v>22</v>
      </c>
      <c r="H24" s="51">
        <f>CORREL($D$4:$D$26,'Rural Sec Raw Data'!W$36:W$58)</f>
        <v>-1.1492319529715456E-2</v>
      </c>
    </row>
    <row r="25" spans="2:8" x14ac:dyDescent="0.35">
      <c r="B25" s="15" t="s">
        <v>35</v>
      </c>
      <c r="C25" s="15">
        <v>2023</v>
      </c>
      <c r="D25" s="9">
        <v>-3.692990754243014E-2</v>
      </c>
      <c r="G25" s="5" t="s">
        <v>23</v>
      </c>
      <c r="H25" s="51">
        <f>CORREL($D$4:$D$26,'Rural Sec Raw Data'!X$36:X$58)</f>
        <v>-7.3343316058356298E-2</v>
      </c>
    </row>
    <row r="26" spans="2:8" x14ac:dyDescent="0.35">
      <c r="B26" s="15" t="s">
        <v>36</v>
      </c>
      <c r="C26" s="15">
        <v>2023</v>
      </c>
      <c r="D26" s="9">
        <v>-3.6620563332498503E-2</v>
      </c>
      <c r="G26" s="5" t="s">
        <v>24</v>
      </c>
      <c r="H26" s="51">
        <f>CORREL($D$4:$D$26,'Rural Sec Raw Data'!Y$36:Y$58)</f>
        <v>8.9262968402088236E-2</v>
      </c>
    </row>
    <row r="27" spans="2:8" x14ac:dyDescent="0.35">
      <c r="G27" s="5" t="s">
        <v>25</v>
      </c>
      <c r="H27" s="51">
        <f>CORREL($D$4:$D$26,'Rural Sec Raw Data'!Z$36:Z$58)</f>
        <v>0.19903338621062477</v>
      </c>
    </row>
    <row r="28" spans="2:8" x14ac:dyDescent="0.35">
      <c r="G28" s="5" t="s">
        <v>26</v>
      </c>
      <c r="H28" s="51">
        <f>CORREL($D$4:$D$26,'Rural Sec Raw Data'!AA$36:AA$58)</f>
        <v>-0.1265754846682878</v>
      </c>
    </row>
    <row r="29" spans="2:8" x14ac:dyDescent="0.35">
      <c r="G29" s="5" t="s">
        <v>27</v>
      </c>
      <c r="H29" s="51">
        <f>CORREL($D$4:$D$26,'Rural Sec Raw Data'!AB$36:AB$58)</f>
        <v>0.11060850128902593</v>
      </c>
    </row>
    <row r="30" spans="2:8" x14ac:dyDescent="0.35">
      <c r="G30" s="5" t="s">
        <v>28</v>
      </c>
      <c r="H30" s="51">
        <f>CORREL($D$4:$D$26,'Rural Sec Raw Data'!AC$36:AC$58)</f>
        <v>2.5217236278321658E-2</v>
      </c>
    </row>
  </sheetData>
  <mergeCells count="1">
    <mergeCell ref="G3:H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A620-8C1B-4263-B335-213444079FD5}">
  <dimension ref="B3:H30"/>
  <sheetViews>
    <sheetView topLeftCell="B1" workbookViewId="0">
      <selection activeCell="H5" sqref="H5:H30"/>
    </sheetView>
  </sheetViews>
  <sheetFormatPr defaultRowHeight="14.5" x14ac:dyDescent="0.35"/>
  <cols>
    <col min="4" max="4" width="12" bestFit="1" customWidth="1"/>
    <col min="7" max="7" width="31.1796875" bestFit="1" customWidth="1"/>
    <col min="8" max="8" width="23.453125" customWidth="1"/>
  </cols>
  <sheetData>
    <row r="3" spans="2:8" x14ac:dyDescent="0.35">
      <c r="B3" s="15" t="s">
        <v>2</v>
      </c>
      <c r="C3" s="15" t="s">
        <v>1</v>
      </c>
      <c r="D3" s="15" t="s">
        <v>143</v>
      </c>
      <c r="G3" s="73" t="s">
        <v>145</v>
      </c>
      <c r="H3" s="74"/>
    </row>
    <row r="4" spans="2:8" x14ac:dyDescent="0.35">
      <c r="B4" s="15" t="s">
        <v>38</v>
      </c>
      <c r="C4" s="15">
        <v>2021</v>
      </c>
      <c r="D4" s="9">
        <v>2.1594892360118929E-2</v>
      </c>
      <c r="G4" s="54" t="s">
        <v>98</v>
      </c>
      <c r="H4" s="15" t="s">
        <v>146</v>
      </c>
    </row>
    <row r="5" spans="2:8" x14ac:dyDescent="0.35">
      <c r="B5" s="15" t="s">
        <v>39</v>
      </c>
      <c r="C5" s="15">
        <v>2021</v>
      </c>
      <c r="D5" s="9">
        <v>8.8604779489336871E-2</v>
      </c>
      <c r="G5" s="5" t="s">
        <v>3</v>
      </c>
      <c r="H5" s="51">
        <f>CORREL($D$4:$D$26,'Urban Sec Raw Data'!D$36:D$58)</f>
        <v>-0.57373431579116818</v>
      </c>
    </row>
    <row r="6" spans="2:8" x14ac:dyDescent="0.35">
      <c r="B6" s="15" t="s">
        <v>40</v>
      </c>
      <c r="C6" s="15">
        <v>2021</v>
      </c>
      <c r="D6" s="9">
        <v>1.8821378680567373E-2</v>
      </c>
      <c r="G6" s="5" t="s">
        <v>4</v>
      </c>
      <c r="H6" s="51">
        <f>CORREL($D$4:$D$26,'Urban Sec Raw Data'!E$36:E$58)</f>
        <v>0.2189004708182169</v>
      </c>
    </row>
    <row r="7" spans="2:8" x14ac:dyDescent="0.35">
      <c r="B7" s="15" t="s">
        <v>41</v>
      </c>
      <c r="C7" s="15">
        <v>2021</v>
      </c>
      <c r="D7" s="9">
        <v>-1.6950112704460375E-2</v>
      </c>
      <c r="G7" s="5" t="s">
        <v>5</v>
      </c>
      <c r="H7" s="51">
        <f>CORREL($D$4:$D$26,'Urban Sec Raw Data'!F$36:F$58)</f>
        <v>-0.10886578878523913</v>
      </c>
    </row>
    <row r="8" spans="2:8" x14ac:dyDescent="0.35">
      <c r="B8" s="15" t="s">
        <v>42</v>
      </c>
      <c r="C8" s="15">
        <v>2021</v>
      </c>
      <c r="D8" s="9">
        <v>1.6297823698013098E-2</v>
      </c>
      <c r="G8" s="5" t="s">
        <v>6</v>
      </c>
      <c r="H8" s="51">
        <f>CORREL($D$4:$D$26,'Urban Sec Raw Data'!G$36:G$58)</f>
        <v>-0.53763411684825346</v>
      </c>
    </row>
    <row r="9" spans="2:8" x14ac:dyDescent="0.35">
      <c r="B9" s="15" t="s">
        <v>43</v>
      </c>
      <c r="C9" s="15">
        <v>2021</v>
      </c>
      <c r="D9" s="9">
        <v>6.3386768936414345E-2</v>
      </c>
      <c r="G9" s="5" t="s">
        <v>7</v>
      </c>
      <c r="H9" s="51">
        <f>CORREL($D$4:$D$26,'Urban Sec Raw Data'!H$36:H$58)</f>
        <v>0.24796201049405403</v>
      </c>
    </row>
    <row r="10" spans="2:8" x14ac:dyDescent="0.35">
      <c r="B10" s="15" t="s">
        <v>45</v>
      </c>
      <c r="C10" s="15">
        <v>2021</v>
      </c>
      <c r="D10" s="9">
        <v>2.3486969752359053E-2</v>
      </c>
      <c r="G10" s="5" t="s">
        <v>8</v>
      </c>
      <c r="H10" s="51">
        <f>CORREL($D$4:$D$26,'Urban Sec Raw Data'!I$36:I$58)</f>
        <v>1.61262152396206E-2</v>
      </c>
    </row>
    <row r="11" spans="2:8" x14ac:dyDescent="0.35">
      <c r="B11" s="15" t="s">
        <v>46</v>
      </c>
      <c r="C11" s="15">
        <v>2021</v>
      </c>
      <c r="D11" s="9">
        <v>-4.0235314048855511E-2</v>
      </c>
      <c r="G11" s="5" t="s">
        <v>9</v>
      </c>
      <c r="H11" s="51">
        <f>CORREL($D$4:$D$26,'Urban Sec Raw Data'!J$36:J$58)</f>
        <v>3.7144288044974527E-3</v>
      </c>
    </row>
    <row r="12" spans="2:8" x14ac:dyDescent="0.35">
      <c r="B12" s="15" t="s">
        <v>31</v>
      </c>
      <c r="C12" s="15">
        <v>2022</v>
      </c>
      <c r="D12" s="9">
        <v>8.481095660186555E-2</v>
      </c>
      <c r="G12" s="5" t="s">
        <v>10</v>
      </c>
      <c r="H12" s="51">
        <f>CORREL($D$4:$D$26,'Urban Sec Raw Data'!K$36:K$58)</f>
        <v>-0.21387400755663066</v>
      </c>
    </row>
    <row r="13" spans="2:8" x14ac:dyDescent="0.35">
      <c r="B13" s="15" t="s">
        <v>35</v>
      </c>
      <c r="C13" s="15">
        <v>2022</v>
      </c>
      <c r="D13" s="9">
        <v>9.8959412390041232E-2</v>
      </c>
      <c r="G13" s="5" t="s">
        <v>11</v>
      </c>
      <c r="H13" s="51">
        <f>CORREL($D$4:$D$26,'Urban Sec Raw Data'!L$36:L$58)</f>
        <v>-7.7997294754389879E-2</v>
      </c>
    </row>
    <row r="14" spans="2:8" x14ac:dyDescent="0.35">
      <c r="B14" s="15" t="s">
        <v>36</v>
      </c>
      <c r="C14" s="15">
        <v>2022</v>
      </c>
      <c r="D14" s="9">
        <v>0.18313929002639978</v>
      </c>
      <c r="G14" s="5" t="s">
        <v>12</v>
      </c>
      <c r="H14" s="51">
        <f>CORREL($D$4:$D$26,'Urban Sec Raw Data'!M$36:M$58)</f>
        <v>-0.12213677167761036</v>
      </c>
    </row>
    <row r="15" spans="2:8" x14ac:dyDescent="0.35">
      <c r="B15" s="15" t="s">
        <v>37</v>
      </c>
      <c r="C15" s="15">
        <v>2022</v>
      </c>
      <c r="D15" s="9">
        <v>-5.1777982847279851E-3</v>
      </c>
      <c r="G15" s="5" t="s">
        <v>13</v>
      </c>
      <c r="H15" s="51">
        <f>CORREL($D$4:$D$26,'Urban Sec Raw Data'!N$36:N$58)</f>
        <v>-0.46255552878402922</v>
      </c>
    </row>
    <row r="16" spans="2:8" x14ac:dyDescent="0.35">
      <c r="B16" s="15" t="s">
        <v>38</v>
      </c>
      <c r="C16" s="15">
        <v>2022</v>
      </c>
      <c r="D16" s="9">
        <v>1.2774012270926061E-2</v>
      </c>
      <c r="G16" s="5" t="s">
        <v>74</v>
      </c>
      <c r="H16" s="51">
        <f>CORREL($D$4:$D$26,'Urban Sec Raw Data'!O$36:O$58)</f>
        <v>-0.21391081120400493</v>
      </c>
    </row>
    <row r="17" spans="2:8" x14ac:dyDescent="0.35">
      <c r="B17" s="15" t="s">
        <v>39</v>
      </c>
      <c r="C17" s="15">
        <v>2022</v>
      </c>
      <c r="D17" s="9">
        <v>3.1098448706091512E-2</v>
      </c>
      <c r="G17" s="5" t="s">
        <v>15</v>
      </c>
      <c r="H17" s="51">
        <f>CORREL($D$4:$D$26,'Urban Sec Raw Data'!P$36:P$58)</f>
        <v>-4.0098965878735349E-2</v>
      </c>
    </row>
    <row r="18" spans="2:8" x14ac:dyDescent="0.35">
      <c r="B18" s="15" t="s">
        <v>40</v>
      </c>
      <c r="C18" s="15">
        <v>2022</v>
      </c>
      <c r="D18" s="9">
        <v>-2.8717275647558427E-2</v>
      </c>
      <c r="G18" s="5" t="s">
        <v>73</v>
      </c>
      <c r="H18" s="51">
        <f>CORREL($D$4:$D$26,'Urban Sec Raw Data'!Q$36:Q$58)</f>
        <v>2.1697349069863497E-3</v>
      </c>
    </row>
    <row r="19" spans="2:8" x14ac:dyDescent="0.35">
      <c r="B19" s="15" t="s">
        <v>41</v>
      </c>
      <c r="C19" s="15">
        <v>2022</v>
      </c>
      <c r="D19" s="9">
        <v>-5.763504108370656E-2</v>
      </c>
      <c r="G19" s="5" t="s">
        <v>17</v>
      </c>
      <c r="H19" s="51">
        <f>CORREL($D$4:$D$26,'Urban Sec Raw Data'!R$36:R$58)</f>
        <v>-0.14013400120599362</v>
      </c>
    </row>
    <row r="20" spans="2:8" x14ac:dyDescent="0.35">
      <c r="B20" s="15" t="s">
        <v>42</v>
      </c>
      <c r="C20" s="15">
        <v>2022</v>
      </c>
      <c r="D20" s="9">
        <v>-5.1122472394447442E-2</v>
      </c>
      <c r="G20" s="5" t="s">
        <v>18</v>
      </c>
      <c r="H20" s="51">
        <f>CORREL($D$4:$D$26,'Urban Sec Raw Data'!S$36:S$58)</f>
        <v>0.19175299404338098</v>
      </c>
    </row>
    <row r="21" spans="2:8" x14ac:dyDescent="0.35">
      <c r="B21" s="15" t="s">
        <v>43</v>
      </c>
      <c r="C21" s="15">
        <v>2022</v>
      </c>
      <c r="D21" s="9">
        <v>-5.4272181894324908E-2</v>
      </c>
      <c r="G21" s="5" t="s">
        <v>19</v>
      </c>
      <c r="H21" s="51">
        <f>CORREL($D$4:$D$26,'Urban Sec Raw Data'!T$36:T$58)</f>
        <v>-5.2164048696500674E-2</v>
      </c>
    </row>
    <row r="22" spans="2:8" x14ac:dyDescent="0.35">
      <c r="B22" s="15" t="s">
        <v>45</v>
      </c>
      <c r="C22" s="15">
        <v>2022</v>
      </c>
      <c r="D22" s="9">
        <v>-3.3174513849205743E-2</v>
      </c>
      <c r="G22" s="5" t="s">
        <v>20</v>
      </c>
      <c r="H22" s="51">
        <f>CORREL($D$4:$D$26,'Urban Sec Raw Data'!U$36:U$58)</f>
        <v>-8.1647150896443074E-2</v>
      </c>
    </row>
    <row r="23" spans="2:8" x14ac:dyDescent="0.35">
      <c r="B23" s="15" t="s">
        <v>46</v>
      </c>
      <c r="C23" s="15">
        <v>2022</v>
      </c>
      <c r="D23" s="9">
        <v>-9.5187068262291646E-2</v>
      </c>
      <c r="G23" s="5" t="s">
        <v>21</v>
      </c>
      <c r="H23" s="51">
        <f>CORREL($D$4:$D$26,'Urban Sec Raw Data'!V$36:V$58)</f>
        <v>1.8977091562088755E-3</v>
      </c>
    </row>
    <row r="24" spans="2:8" x14ac:dyDescent="0.35">
      <c r="B24" s="15" t="s">
        <v>31</v>
      </c>
      <c r="C24" s="15">
        <v>2023</v>
      </c>
      <c r="D24" s="9">
        <v>-3.8225085259807424E-2</v>
      </c>
      <c r="G24" s="5" t="s">
        <v>22</v>
      </c>
      <c r="H24" s="51">
        <f>CORREL($D$4:$D$26,'Urban Sec Raw Data'!W$36:W$58)</f>
        <v>6.8033653821380699E-2</v>
      </c>
    </row>
    <row r="25" spans="2:8" x14ac:dyDescent="0.35">
      <c r="B25" s="15" t="s">
        <v>35</v>
      </c>
      <c r="C25" s="15">
        <v>2023</v>
      </c>
      <c r="D25" s="9">
        <v>-3.692990754243014E-2</v>
      </c>
      <c r="G25" s="5" t="s">
        <v>23</v>
      </c>
      <c r="H25" s="51">
        <f>CORREL($D$4:$D$26,'Urban Sec Raw Data'!X$36:X$58)</f>
        <v>0.10162035333261374</v>
      </c>
    </row>
    <row r="26" spans="2:8" x14ac:dyDescent="0.35">
      <c r="B26" s="15" t="s">
        <v>36</v>
      </c>
      <c r="C26" s="15">
        <v>2023</v>
      </c>
      <c r="D26" s="9">
        <v>-3.6620563332498503E-2</v>
      </c>
      <c r="G26" s="5" t="s">
        <v>24</v>
      </c>
      <c r="H26" s="51">
        <f>CORREL($D$4:$D$26,'Urban Sec Raw Data'!Y$36:Y$58)</f>
        <v>0.25609974181592904</v>
      </c>
    </row>
    <row r="27" spans="2:8" x14ac:dyDescent="0.35">
      <c r="G27" s="5" t="s">
        <v>25</v>
      </c>
      <c r="H27" s="51">
        <f>CORREL($D$4:$D$26,'Urban Sec Raw Data'!Z$36:Z$58)</f>
        <v>0.25794669479418902</v>
      </c>
    </row>
    <row r="28" spans="2:8" x14ac:dyDescent="0.35">
      <c r="G28" s="5" t="s">
        <v>26</v>
      </c>
      <c r="H28" s="51">
        <f>CORREL($D$4:$D$26,'Urban Sec Raw Data'!AA$36:AA$58)</f>
        <v>-0.26588985693034167</v>
      </c>
    </row>
    <row r="29" spans="2:8" x14ac:dyDescent="0.35">
      <c r="G29" s="5" t="s">
        <v>27</v>
      </c>
      <c r="H29" s="51">
        <f>CORREL($D$4:$D$26,'Urban Sec Raw Data'!AB$36:AB$58)</f>
        <v>-0.27808885120141225</v>
      </c>
    </row>
    <row r="30" spans="2:8" x14ac:dyDescent="0.35">
      <c r="G30" s="5" t="s">
        <v>28</v>
      </c>
      <c r="H30" s="51">
        <f>CORREL($D$4:$D$26,'Urban Sec Raw Data'!AC$36:AC$58)</f>
        <v>0.13402403692517445</v>
      </c>
    </row>
  </sheetData>
  <mergeCells count="1">
    <mergeCell ref="G3:H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514D-A8AE-4E05-80E2-E2B34A407BF6}">
  <dimension ref="B3:H30"/>
  <sheetViews>
    <sheetView topLeftCell="G1" workbookViewId="0">
      <selection activeCell="H5" sqref="H5:H30"/>
    </sheetView>
  </sheetViews>
  <sheetFormatPr defaultRowHeight="14.5" x14ac:dyDescent="0.35"/>
  <cols>
    <col min="4" max="4" width="12" bestFit="1" customWidth="1"/>
    <col min="7" max="7" width="31.1796875" bestFit="1" customWidth="1"/>
    <col min="8" max="8" width="23.453125" customWidth="1"/>
  </cols>
  <sheetData>
    <row r="3" spans="2:8" x14ac:dyDescent="0.35">
      <c r="B3" s="15" t="s">
        <v>2</v>
      </c>
      <c r="C3" s="15" t="s">
        <v>1</v>
      </c>
      <c r="D3" s="15" t="s">
        <v>143</v>
      </c>
      <c r="G3" s="73" t="s">
        <v>145</v>
      </c>
      <c r="H3" s="74"/>
    </row>
    <row r="4" spans="2:8" x14ac:dyDescent="0.35">
      <c r="B4" s="15" t="s">
        <v>38</v>
      </c>
      <c r="C4" s="15">
        <v>2021</v>
      </c>
      <c r="D4" s="9">
        <v>2.1594892360118929E-2</v>
      </c>
      <c r="G4" s="54" t="s">
        <v>98</v>
      </c>
      <c r="H4" s="15" t="s">
        <v>146</v>
      </c>
    </row>
    <row r="5" spans="2:8" x14ac:dyDescent="0.35">
      <c r="B5" s="15" t="s">
        <v>39</v>
      </c>
      <c r="C5" s="15">
        <v>2021</v>
      </c>
      <c r="D5" s="9">
        <v>8.8604779489336871E-2</v>
      </c>
      <c r="G5" s="5" t="s">
        <v>3</v>
      </c>
      <c r="H5" s="51">
        <f>CORREL($D$4:$D$26,'Rural+Urban Raw data'!D$36:D$58)</f>
        <v>-0.34950843670445497</v>
      </c>
    </row>
    <row r="6" spans="2:8" x14ac:dyDescent="0.35">
      <c r="B6" s="15" t="s">
        <v>40</v>
      </c>
      <c r="C6" s="15">
        <v>2021</v>
      </c>
      <c r="D6" s="9">
        <v>1.8821378680567373E-2</v>
      </c>
      <c r="G6" s="5" t="s">
        <v>4</v>
      </c>
      <c r="H6" s="51">
        <f>CORREL($D$4:$D$26,'Rural+Urban Raw data'!E$36:E$58)</f>
        <v>0.57993784283909533</v>
      </c>
    </row>
    <row r="7" spans="2:8" x14ac:dyDescent="0.35">
      <c r="B7" s="15" t="s">
        <v>41</v>
      </c>
      <c r="C7" s="15">
        <v>2021</v>
      </c>
      <c r="D7" s="9">
        <v>-1.6950112704460375E-2</v>
      </c>
      <c r="G7" s="5" t="s">
        <v>5</v>
      </c>
      <c r="H7" s="51">
        <f>CORREL($D$4:$D$26,'Rural+Urban Raw data'!F$36:F$58)</f>
        <v>-0.11059283401886609</v>
      </c>
    </row>
    <row r="8" spans="2:8" x14ac:dyDescent="0.35">
      <c r="B8" s="15" t="s">
        <v>42</v>
      </c>
      <c r="C8" s="15">
        <v>2021</v>
      </c>
      <c r="D8" s="9">
        <v>1.6297823698013098E-2</v>
      </c>
      <c r="G8" s="5" t="s">
        <v>6</v>
      </c>
      <c r="H8" s="51">
        <f>CORREL($D$4:$D$26,'Rural+Urban Raw data'!G$36:G$58)</f>
        <v>-0.29134152953577541</v>
      </c>
    </row>
    <row r="9" spans="2:8" x14ac:dyDescent="0.35">
      <c r="B9" s="15" t="s">
        <v>43</v>
      </c>
      <c r="C9" s="15">
        <v>2021</v>
      </c>
      <c r="D9" s="9">
        <v>6.3386768936414345E-2</v>
      </c>
      <c r="G9" s="5" t="s">
        <v>7</v>
      </c>
      <c r="H9" s="51">
        <f>CORREL($D$4:$D$26,'Rural+Urban Raw data'!H$36:H$58)</f>
        <v>0.51666183182873271</v>
      </c>
    </row>
    <row r="10" spans="2:8" x14ac:dyDescent="0.35">
      <c r="B10" s="15" t="s">
        <v>45</v>
      </c>
      <c r="C10" s="15">
        <v>2021</v>
      </c>
      <c r="D10" s="9">
        <v>2.3486969752359053E-2</v>
      </c>
      <c r="G10" s="5" t="s">
        <v>8</v>
      </c>
      <c r="H10" s="51">
        <f>CORREL($D$4:$D$26,'Rural+Urban Raw data'!I$36:I$58)</f>
        <v>0.10752133161756114</v>
      </c>
    </row>
    <row r="11" spans="2:8" x14ac:dyDescent="0.35">
      <c r="B11" s="15" t="s">
        <v>46</v>
      </c>
      <c r="C11" s="15">
        <v>2021</v>
      </c>
      <c r="D11" s="9">
        <v>-4.0235314048855511E-2</v>
      </c>
      <c r="G11" s="5" t="s">
        <v>9</v>
      </c>
      <c r="H11" s="51">
        <f>CORREL($D$4:$D$26,'Rural+Urban Raw data'!J$36:J$58)</f>
        <v>0.24816211316105977</v>
      </c>
    </row>
    <row r="12" spans="2:8" x14ac:dyDescent="0.35">
      <c r="B12" s="15" t="s">
        <v>31</v>
      </c>
      <c r="C12" s="15">
        <v>2022</v>
      </c>
      <c r="D12" s="9">
        <v>8.481095660186555E-2</v>
      </c>
      <c r="G12" s="5" t="s">
        <v>10</v>
      </c>
      <c r="H12" s="51">
        <f>CORREL($D$4:$D$26,'Rural+Urban Raw data'!K$36:K$58)</f>
        <v>-0.15621774168037136</v>
      </c>
    </row>
    <row r="13" spans="2:8" x14ac:dyDescent="0.35">
      <c r="B13" s="15" t="s">
        <v>35</v>
      </c>
      <c r="C13" s="15">
        <v>2022</v>
      </c>
      <c r="D13" s="9">
        <v>9.8959412390041232E-2</v>
      </c>
      <c r="G13" s="5" t="s">
        <v>11</v>
      </c>
      <c r="H13" s="51">
        <f>CORREL($D$4:$D$26,'Rural+Urban Raw data'!L$36:L$58)</f>
        <v>-4.686248775383877E-2</v>
      </c>
    </row>
    <row r="14" spans="2:8" x14ac:dyDescent="0.35">
      <c r="B14" s="15" t="s">
        <v>36</v>
      </c>
      <c r="C14" s="15">
        <v>2022</v>
      </c>
      <c r="D14" s="9">
        <v>0.18313929002639978</v>
      </c>
      <c r="G14" s="5" t="s">
        <v>12</v>
      </c>
      <c r="H14" s="51">
        <f>CORREL($D$4:$D$26,'Rural+Urban Raw data'!M$36:M$58)</f>
        <v>-6.8542666496403476E-2</v>
      </c>
    </row>
    <row r="15" spans="2:8" x14ac:dyDescent="0.35">
      <c r="B15" s="15" t="s">
        <v>37</v>
      </c>
      <c r="C15" s="15">
        <v>2022</v>
      </c>
      <c r="D15" s="9">
        <v>-5.1777982847279851E-3</v>
      </c>
      <c r="G15" s="5" t="s">
        <v>13</v>
      </c>
      <c r="H15" s="51">
        <f>CORREL($D$4:$D$26,'Rural+Urban Raw data'!N$36:N$58)</f>
        <v>-6.9466092882781603E-3</v>
      </c>
    </row>
    <row r="16" spans="2:8" x14ac:dyDescent="0.35">
      <c r="B16" s="15" t="s">
        <v>38</v>
      </c>
      <c r="C16" s="15">
        <v>2022</v>
      </c>
      <c r="D16" s="9">
        <v>1.2774012270926061E-2</v>
      </c>
      <c r="G16" s="5" t="s">
        <v>74</v>
      </c>
      <c r="H16" s="51">
        <f>CORREL($D$4:$D$26,'Rural+Urban Raw data'!O$36:O$58)</f>
        <v>0.1132585017491691</v>
      </c>
    </row>
    <row r="17" spans="2:8" x14ac:dyDescent="0.35">
      <c r="B17" s="15" t="s">
        <v>39</v>
      </c>
      <c r="C17" s="15">
        <v>2022</v>
      </c>
      <c r="D17" s="9">
        <v>3.1098448706091512E-2</v>
      </c>
      <c r="G17" s="5" t="s">
        <v>15</v>
      </c>
      <c r="H17" s="51">
        <f>CORREL($D$4:$D$26,'Rural+Urban Raw data'!P$36:P$58)</f>
        <v>0.34415819048394491</v>
      </c>
    </row>
    <row r="18" spans="2:8" x14ac:dyDescent="0.35">
      <c r="B18" s="15" t="s">
        <v>40</v>
      </c>
      <c r="C18" s="15">
        <v>2022</v>
      </c>
      <c r="D18" s="9">
        <v>-2.8717275647558427E-2</v>
      </c>
      <c r="G18" s="5" t="s">
        <v>73</v>
      </c>
      <c r="H18" s="51">
        <f>CORREL($D$4:$D$26,'Rural+Urban Raw data'!Q$36:Q$58)</f>
        <v>-5.8124104156859195E-2</v>
      </c>
    </row>
    <row r="19" spans="2:8" x14ac:dyDescent="0.35">
      <c r="B19" s="15" t="s">
        <v>41</v>
      </c>
      <c r="C19" s="15">
        <v>2022</v>
      </c>
      <c r="D19" s="9">
        <v>-5.763504108370656E-2</v>
      </c>
      <c r="G19" s="5" t="s">
        <v>17</v>
      </c>
      <c r="H19" s="51">
        <f>CORREL($D$4:$D$26,'Rural+Urban Raw data'!R$36:R$58)</f>
        <v>7.1334729445142797E-2</v>
      </c>
    </row>
    <row r="20" spans="2:8" x14ac:dyDescent="0.35">
      <c r="B20" s="15" t="s">
        <v>42</v>
      </c>
      <c r="C20" s="15">
        <v>2022</v>
      </c>
      <c r="D20" s="9">
        <v>-5.1122472394447442E-2</v>
      </c>
      <c r="G20" s="5" t="s">
        <v>18</v>
      </c>
      <c r="H20" s="51">
        <f>CORREL($D$4:$D$26,'Rural+Urban Raw data'!S$36:S$58)</f>
        <v>0.23273611842683412</v>
      </c>
    </row>
    <row r="21" spans="2:8" x14ac:dyDescent="0.35">
      <c r="B21" s="15" t="s">
        <v>43</v>
      </c>
      <c r="C21" s="15">
        <v>2022</v>
      </c>
      <c r="D21" s="9">
        <v>-5.4272181894324908E-2</v>
      </c>
      <c r="G21" s="5" t="s">
        <v>19</v>
      </c>
      <c r="H21" s="51">
        <f>CORREL($D$4:$D$26,'Rural+Urban Raw data'!T$36:T$58)</f>
        <v>0.11963089114146776</v>
      </c>
    </row>
    <row r="22" spans="2:8" x14ac:dyDescent="0.35">
      <c r="B22" s="15" t="s">
        <v>45</v>
      </c>
      <c r="C22" s="15">
        <v>2022</v>
      </c>
      <c r="D22" s="9">
        <v>-3.3174513849205743E-2</v>
      </c>
      <c r="G22" s="5" t="s">
        <v>20</v>
      </c>
      <c r="H22" s="51">
        <f>CORREL($D$4:$D$26,'Rural+Urban Raw data'!U$36:U$58)</f>
        <v>-9.8207951496237789E-2</v>
      </c>
    </row>
    <row r="23" spans="2:8" x14ac:dyDescent="0.35">
      <c r="B23" s="15" t="s">
        <v>46</v>
      </c>
      <c r="C23" s="15">
        <v>2022</v>
      </c>
      <c r="D23" s="9">
        <v>-9.5187068262291646E-2</v>
      </c>
      <c r="G23" s="5" t="s">
        <v>21</v>
      </c>
      <c r="H23" s="51">
        <f>CORREL($D$4:$D$26,'Rural+Urban Raw data'!V$36:V$58)</f>
        <v>0.1421615215874939</v>
      </c>
    </row>
    <row r="24" spans="2:8" x14ac:dyDescent="0.35">
      <c r="B24" s="15" t="s">
        <v>31</v>
      </c>
      <c r="C24" s="15">
        <v>2023</v>
      </c>
      <c r="D24" s="9">
        <v>-3.8225085259807424E-2</v>
      </c>
      <c r="G24" s="5" t="s">
        <v>22</v>
      </c>
      <c r="H24" s="51">
        <f>CORREL($D$4:$D$26,'Rural+Urban Raw data'!W$36:W$58)</f>
        <v>-1.5233345307590986E-2</v>
      </c>
    </row>
    <row r="25" spans="2:8" x14ac:dyDescent="0.35">
      <c r="B25" s="15" t="s">
        <v>35</v>
      </c>
      <c r="C25" s="15">
        <v>2023</v>
      </c>
      <c r="D25" s="9">
        <v>-3.692990754243014E-2</v>
      </c>
      <c r="G25" s="5" t="s">
        <v>23</v>
      </c>
      <c r="H25" s="51">
        <f>CORREL($D$4:$D$26,'Rural+Urban Raw data'!X$36:X$58)</f>
        <v>-9.8067071442510326E-2</v>
      </c>
    </row>
    <row r="26" spans="2:8" x14ac:dyDescent="0.35">
      <c r="B26" s="15" t="s">
        <v>36</v>
      </c>
      <c r="C26" s="15">
        <v>2023</v>
      </c>
      <c r="D26" s="9">
        <v>-3.6620563332498503E-2</v>
      </c>
      <c r="G26" s="5" t="s">
        <v>24</v>
      </c>
      <c r="H26" s="51">
        <f>CORREL($D$4:$D$26,'Rural+Urban Raw data'!Y$36:Y$58)</f>
        <v>0.14066335229397289</v>
      </c>
    </row>
    <row r="27" spans="2:8" x14ac:dyDescent="0.35">
      <c r="G27" s="5" t="s">
        <v>25</v>
      </c>
      <c r="H27" s="51">
        <f>CORREL($D$4:$D$26,'Rural+Urban Raw data'!Z$36:Z$58)</f>
        <v>6.1488540574993943E-2</v>
      </c>
    </row>
    <row r="28" spans="2:8" x14ac:dyDescent="0.35">
      <c r="G28" s="5" t="s">
        <v>26</v>
      </c>
      <c r="H28" s="51">
        <f>CORREL($D$4:$D$26,'Rural+Urban Raw data'!AA$36:AA$58)</f>
        <v>4.5033900613614484E-3</v>
      </c>
    </row>
    <row r="29" spans="2:8" x14ac:dyDescent="0.35">
      <c r="G29" s="5" t="s">
        <v>27</v>
      </c>
      <c r="H29" s="51">
        <f>CORREL($D$4:$D$26,'Rural+Urban Raw data'!AB$36:AB$58)</f>
        <v>0.10997997950161716</v>
      </c>
    </row>
    <row r="30" spans="2:8" x14ac:dyDescent="0.35">
      <c r="G30" s="5" t="s">
        <v>28</v>
      </c>
      <c r="H30" s="51">
        <f>CORREL($D$4:$D$26,'Rural+Urban Raw data'!AC$36:AC$58)</f>
        <v>0.1041942633945681</v>
      </c>
    </row>
  </sheetData>
  <autoFilter ref="G4:H30" xr:uid="{CE2D514D-A8AE-4E05-80E2-E2B34A407BF6}"/>
  <mergeCells count="1">
    <mergeCell ref="G3:H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AD47E2-A8AD-47A2-AE0B-972B8567F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Cleaned Data</vt:lpstr>
      <vt:lpstr>Q1 CPI Basket Contri Analysis</vt:lpstr>
      <vt:lpstr>Q2 Y-O-Y CPI Trend</vt:lpstr>
      <vt:lpstr>Q3 MOM Food Inflation Analysis</vt:lpstr>
      <vt:lpstr>Q4 Rural Covid Impact</vt:lpstr>
      <vt:lpstr>Q4 Urban Covid Impact</vt:lpstr>
      <vt:lpstr>Q4 Rural + Urban Covid Impact</vt:lpstr>
      <vt:lpstr>Crude Oil Data 2021-22</vt:lpstr>
      <vt:lpstr>Crude Oil Data 2022-23</vt:lpstr>
      <vt:lpstr>Rural Sec Raw Data</vt:lpstr>
      <vt:lpstr>Urban Sec Raw Data</vt:lpstr>
      <vt:lpstr>Rural+Urban Raw data</vt:lpstr>
      <vt:lpstr>Q5 Crude Oil Inflation</vt:lpstr>
      <vt:lpstr>Q5 Rural Sector Correlation</vt:lpstr>
      <vt:lpstr>Q5 Urban Sector Correlation</vt:lpstr>
      <vt:lpstr>Q5RuralUrban Sector 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Deshpande</dc:creator>
  <cp:lastModifiedBy>Atharva Deshpande</cp:lastModifiedBy>
  <dcterms:created xsi:type="dcterms:W3CDTF">2026-05-19T05:03:24Z</dcterms:created>
  <dcterms:modified xsi:type="dcterms:W3CDTF">2026-06-10T10:53:57Z</dcterms:modified>
</cp:coreProperties>
</file>